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6a84b50f804a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20713a8db4374d6b"/>
    <x:sheet xmlns:r="http://schemas.openxmlformats.org/officeDocument/2006/relationships" name="Coverage Plan" sheetId="2" r:id="R72657c3e202740a3"/>
    <x:sheet xmlns:r="http://schemas.openxmlformats.org/officeDocument/2006/relationships" name="Question Bank" sheetId="3" r:id="R151f539213b242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0">
    <x:font>
      <x:sz val="11"/>
      <x:name val="Carlito"/>
    </x:font>
    <x:font>
      <x:b/>
      <x:sz val="20"/>
      <x:color rgb="FFEEE8DA"/>
      <x:name val="Carlito"/>
    </x:font>
    <x:font>
      <x:b/>
      <x:sz val="10"/>
      <x:color rgb="FFFFFFFF"/>
      <x:name val="Carlito"/>
    </x:font>
    <x:font>
      <x:b/>
      <x:sz val="11"/>
      <x:color rgb="FF161A24"/>
      <x:name val="Carlito"/>
    </x:font>
    <x:font>
      <x:b/>
      <x:sz val="11"/>
      <x:color rgb="FFEEE8DA"/>
      <x:name val="Carlito"/>
    </x:font>
    <x:font>
      <x:sz val="11"/>
      <x:color rgb="FF1E1A14"/>
      <x:name val="Carlito"/>
    </x:font>
    <x:font>
      <x:sz val="11"/>
      <x:color rgb="FF163D42"/>
      <x:name val="Carlito"/>
    </x:font>
    <x:font>
      <x:b/>
      <x:sz val="18"/>
      <x:color rgb="FFEEE8DA"/>
      <x:name val="Carlito"/>
    </x:font>
    <x:font>
      <x:b/>
      <x:sz val="11"/>
      <x:color rgb="FFFFFFFF"/>
      <x:name val="Carlito"/>
    </x:font>
    <x:font>
      <x:b/>
      <x:sz val="11"/>
      <x:color rgb="FF163D42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1A24"/>
      </x:patternFill>
    </x:fill>
    <x:fill>
      <x:patternFill patternType="solid">
        <x:fgColor rgb="FFD44A4A"/>
      </x:patternFill>
    </x:fill>
    <x:fill>
      <x:patternFill patternType="solid">
        <x:fgColor rgb="FFC9A84C"/>
      </x:patternFill>
    </x:fill>
    <x:fill>
      <x:patternFill patternType="solid">
        <x:fgColor rgb="FF222838"/>
      </x:patternFill>
    </x:fill>
    <x:fill>
      <x:patternFill patternType="solid">
        <x:fgColor rgb="FFF4F1EA"/>
      </x:patternFill>
    </x:fill>
    <x:fill>
      <x:patternFill patternType="solid">
        <x:fgColor rgb="FFE7F3F4"/>
      </x:patternFill>
    </x:fill>
    <x:fill>
      <x:patternFill patternType="solid">
        <x:fgColor rgb="FFF8F6F1"/>
      </x:patternFill>
    </x:fill>
    <x:fill>
      <x:patternFill patternType="solid">
        <x:fgColor rgb="FFEEE9E0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200" fontId="0" fillId="0" borderId="0" xfId="0" applyNumberFormat="1" applyFont="1" applyFill="1" applyBorder="1"/>
    <x:xf numFmtId="200" fontId="4" fillId="2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4" fillId="2" borderId="6" xfId="0" applyNumberFormat="1" applyFont="1" applyFill="1" applyBorder="1"/>
    <x:xf numFmtId="0" fontId="4" fillId="2" borderId="7" xfId="0" applyNumberFormat="1" applyFont="1" applyFill="1" applyBorder="1"/>
    <x:xf numFmtId="200" fontId="4" fillId="2" borderId="7" xfId="0" applyNumberFormat="1" applyFont="1" applyFill="1" applyBorder="1"/>
    <x:xf numFmtId="0" fontId="4" fillId="2" borderId="8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4" fillId="2" borderId="6" xfId="0" applyNumberFormat="1" applyFont="1" applyFill="1" applyBorder="1" applyAlignment="1">
      <x:alignment vertical="center"/>
    </x:xf>
    <x:xf numFmtId="0" fontId="4" fillId="2" borderId="7" xfId="0" applyNumberFormat="1" applyFont="1" applyFill="1" applyBorder="1" applyAlignment="1">
      <x:alignment vertical="center"/>
    </x:xf>
    <x:xf numFmtId="200" fontId="4" fillId="2" borderId="7" xfId="0" applyNumberFormat="1" applyFont="1" applyFill="1" applyBorder="1" applyAlignment="1">
      <x:alignment vertical="center"/>
    </x:xf>
    <x:xf numFmtId="0" fontId="4" fillId="2" borderId="8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4" fillId="2" borderId="6" xfId="0" applyNumberFormat="1" applyFont="1" applyFill="1" applyBorder="1" applyAlignment="1">
      <x:alignment wrapText="1"/>
    </x:xf>
    <x:xf numFmtId="0" fontId="4" fillId="2" borderId="7" xfId="0" applyNumberFormat="1" applyFont="1" applyFill="1" applyBorder="1" applyAlignment="1">
      <x:alignment wrapText="1"/>
    </x:xf>
    <x:xf numFmtId="200" fontId="4" fillId="2" borderId="7" xfId="0" applyNumberFormat="1" applyFont="1" applyFill="1" applyBorder="1" applyAlignment="1">
      <x:alignment wrapText="1"/>
    </x:xf>
    <x:xf numFmtId="0" fontId="4" fillId="2" borderId="8" xfId="0" applyNumberFormat="1" applyFont="1" applyFill="1" applyBorder="1" applyAlignment="1">
      <x:alignment wrapText="1"/>
    </x:xf>
    <x:xf numFmtId="0" fontId="8" fillId="3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0" fontId="0" fillId="8" borderId="4" xfId="0" applyNumberFormat="1" applyFont="1" applyFill="1" applyBorder="1" applyAlignment="1">
      <x:alignment vertical="top" wrapText="1"/>
    </x:xf>
    <x:xf numFmtId="0" fontId="9" fillId="7" borderId="5" xfId="0" applyNumberFormat="1" applyFont="1" applyFill="1" applyBorder="1" applyAlignment="1">
      <x:alignment vertical="top" wrapText="1"/>
    </x:xf>
    <x:xf numFmtId="0" fontId="0" fillId="9" borderId="4" xfId="0" applyNumberFormat="1" applyFont="1" applyFill="1" applyBorder="1" applyAlignment="1">
      <x:alignment vertical="top" wrapText="1"/>
    </x:xf>
    <x:xf numFmtId="0" fontId="0" fillId="9" borderId="6" xfId="0" applyNumberFormat="1" applyFont="1" applyFill="1" applyBorder="1" applyAlignment="1">
      <x:alignment vertical="top" wrapText="1"/>
    </x:xf>
    <x:xf numFmtId="0" fontId="0" fillId="9" borderId="7" xfId="0" applyNumberFormat="1" applyFont="1" applyFill="1" applyBorder="1" applyAlignment="1">
      <x:alignment vertical="top" wrapText="1"/>
    </x:xf>
    <x:xf numFmtId="0" fontId="9" fillId="7" borderId="7" xfId="0" applyNumberFormat="1" applyFont="1" applyFill="1" applyBorder="1" applyAlignment="1">
      <x:alignment vertical="top" wrapText="1"/>
    </x:xf>
    <x:xf numFmtId="0" fontId="9" fillId="7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8B2A1A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2659d016b74185" /><Relationship Type="http://schemas.openxmlformats.org/officeDocument/2006/relationships/theme" Target="/xl/theme/theme1.xml" Id="R72dde072897e4a04" /><Relationship Type="http://schemas.openxmlformats.org/officeDocument/2006/relationships/sharedStrings" Target="/xl/sharedStrings.xml" Id="R2849beeecc744b74" /><Relationship Type="http://schemas.openxmlformats.org/officeDocument/2006/relationships/worksheet" Target="/xl/worksheets/sheet1.xml" Id="R20713a8db4374d6b" /><Relationship Type="http://schemas.openxmlformats.org/officeDocument/2006/relationships/worksheet" Target="/xl/worksheets/sheet2.xml" Id="R72657c3e202740a3" /><Relationship Type="http://schemas.openxmlformats.org/officeDocument/2006/relationships/worksheet" Target="/xl/worksheets/sheet3.xml" Id="R151f539213b24237" /></Relationships>
</file>

<file path=xl/tables/table1.xml><?xml version="1.0" encoding="utf-8"?>
<x:table xmlns:x="http://schemas.openxmlformats.org/spreadsheetml/2006/main" id="1" name="CoverageTable" displayName="CoverageTable" ref="A3:G14" headerRowCount="1" totalsRowCount="0" totalsRowShown="0">
  <x:tableColumns count="7">
    <x:tableColumn id="1" name="Category ID"/>
    <x:tableColumn id="2" name="Category"/>
    <x:tableColumn id="3" name="Pool questions"/>
    <x:tableColumn id="4" name="Initial exam quota"/>
    <x:tableColumn id="5" name="Initial coverage"/>
    <x:tableColumn id="6" name="Retake rule"/>
    <x:tableColumn id="7" name="Verific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estionBankTable" displayName="QuestionBankTable" ref="A4:I104" headerRowCount="1" totalsRowCount="0" totalsRowShown="0">
  <x:tableColumns count="9">
    <x:tableColumn id="1" name="Question ID"/>
    <x:tableColumn id="2" name="Category"/>
    <x:tableColumn id="3" name="Question"/>
    <x:tableColumn id="4" name="Answer A"/>
    <x:tableColumn id="5" name="Answer B"/>
    <x:tableColumn id="6" name="Answer C"/>
    <x:tableColumn id="7" name="Answer D"/>
    <x:tableColumn id="8" name="Correct option"/>
    <x:tableColumn id="9" name="Correct answ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7361a8b6bd44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cde3a54d104c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2" hidden="0" customWidth="1"/>
    <x:col min="3" max="3" width="20" hidden="0" customWidth="1"/>
    <x:col min="4" max="4" width="15" hidden="0" customWidth="1"/>
    <x:col min="5" max="5" width="48" hidden="0" customWidth="1"/>
    <x:col min="6" max="6" width="4" hidden="0" customWidth="1"/>
    <x:col min="7" max="7" width="4" hidden="0" customWidth="1"/>
    <x:col min="8" max="8" width="4" hidden="0" customWidth="1"/>
  </x:cols>
  <x:sheetData>
    <x:row r="1" ht="34" customHeight="1">
      <x:c r="A1" s="3" t="str">
        <x:v>GuestGuard Inspector Certification — Question Bank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INTERNAL REVIEW ONLY — This workbook contains the correct answers. Do not distribute it to learners.</x:v>
      </x:c>
      <x:c r="B2" s="6"/>
      <x:c r="C2" s="6"/>
      <x:c r="D2" s="6"/>
      <x:c r="E2" s="6"/>
      <x:c r="F2" s="6"/>
      <x:c r="G2" s="6"/>
      <x:c r="H2" s="6"/>
    </x:row>
    <x:row r="3">
      <x:c r="A3" s="30"/>
      <x:c r="B3" s="30"/>
      <x:c r="C3" s="30"/>
      <x:c r="D3" s="30"/>
      <x:c r="E3" s="30"/>
      <x:c r="F3" s="30"/>
      <x:c r="G3" s="30"/>
      <x:c r="H3" s="30"/>
    </x:row>
    <x:row r="4">
      <x:c r="A4" s="31" t="str">
        <x:v>Program rule</x:v>
      </x:c>
      <x:c r="B4" s="31" t="str">
        <x:v>Current configuration</x:v>
      </x:c>
      <x:c r="C4" s="30"/>
      <x:c r="D4" s="30"/>
      <x:c r="E4" s="30"/>
      <x:c r="F4" s="30"/>
      <x:c r="G4" s="30"/>
      <x:c r="H4" s="30"/>
    </x:row>
    <x:row r="5">
      <x:c r="A5" s="32" t="str">
        <x:v>Question pool</x:v>
      </x:c>
      <x:c r="B5" s="33" t="str">
        <x:v>100 questions</x:v>
      </x:c>
      <x:c r="C5" s="30"/>
      <x:c r="D5" s="30"/>
      <x:c r="E5" s="30"/>
      <x:c r="F5" s="30"/>
      <x:c r="G5" s="30"/>
      <x:c r="H5" s="30"/>
    </x:row>
    <x:row r="6">
      <x:c r="A6" s="32" t="str">
        <x:v>Initial certification exam</x:v>
      </x:c>
      <x:c r="B6" s="33" t="str">
        <x:v>50 questions</x:v>
      </x:c>
      <x:c r="C6" s="30"/>
      <x:c r="D6" s="30"/>
      <x:c r="E6" s="30"/>
      <x:c r="F6" s="30"/>
      <x:c r="G6" s="30"/>
      <x:c r="H6" s="30"/>
    </x:row>
    <x:row r="7">
      <x:c r="A7" s="32" t="str">
        <x:v>Passing score</x:v>
      </x:c>
      <x:c r="B7" s="33" t="str">
        <x:v>80%</x:v>
      </x:c>
      <x:c r="C7" s="30"/>
      <x:c r="D7" s="30"/>
      <x:c r="E7" s="30"/>
      <x:c r="F7" s="30"/>
      <x:c r="G7" s="30"/>
      <x:c r="H7" s="30"/>
    </x:row>
    <x:row r="8">
      <x:c r="A8" s="32" t="str">
        <x:v>Attempts allowed</x:v>
      </x:c>
      <x:c r="B8" s="33" t="str">
        <x:v>1 initial attempt + 3 retakes</x:v>
      </x:c>
      <x:c r="C8" s="30"/>
      <x:c r="D8" s="30"/>
      <x:c r="E8" s="30"/>
      <x:c r="F8" s="30"/>
      <x:c r="G8" s="30"/>
      <x:c r="H8" s="30"/>
    </x:row>
    <x:row r="9">
      <x:c r="A9" s="32" t="str">
        <x:v>Retake size</x:v>
      </x:c>
      <x:c r="B9" s="33" t="str">
        <x:v>Twice the number missed (for example, 15 missed → 30 questions)</x:v>
      </x:c>
      <x:c r="C9" s="30"/>
      <x:c r="D9" s="30"/>
      <x:c r="E9" s="30"/>
      <x:c r="F9" s="30"/>
      <x:c r="G9" s="30"/>
      <x:c r="H9" s="30"/>
    </x:row>
    <x:row r="10">
      <x:c r="A10" s="30"/>
      <x:c r="B10" s="30"/>
      <x:c r="C10" s="30"/>
      <x:c r="D10" s="30"/>
      <x:c r="E10" s="30"/>
      <x:c r="F10" s="30"/>
      <x:c r="G10" s="30"/>
      <x:c r="H10" s="30"/>
    </x:row>
    <x:row r="11">
      <x:c r="A11" s="34" t="str">
        <x:v>Category</x:v>
      </x:c>
      <x:c r="B11" s="35" t="str">
        <x:v>Pool</x:v>
      </x:c>
      <x:c r="C11" s="35" t="str">
        <x:v>Initial selection</x:v>
      </x:c>
      <x:c r="D11" s="35" t="str">
        <x:v>Pool used</x:v>
      </x:c>
      <x:c r="E11" s="36" t="str">
        <x:v>Retake targeting</x:v>
      </x:c>
      <x:c r="F11" s="30" t="str"/>
      <x:c r="G11" s="30" t="str"/>
      <x:c r="H11" s="30" t="str"/>
    </x:row>
    <x:row r="12">
      <x:c r="A12" s="37" t="str">
        <x:v>GuestGuard purpose and inspector role</x:v>
      </x:c>
      <x:c r="B12" s="30" t="n">
        <x:v>10</x:v>
      </x:c>
      <x:c r="C12" s="30" t="n">
        <x:v>5</x:v>
      </x:c>
      <x:c r="D12" s="38" t="n">
        <x:f>C12/B12</x:f>
        <x:v>0.5</x:v>
      </x:c>
      <x:c r="E12" s="39" t="str">
        <x:v>One targeted slot per missed question in this category</x:v>
      </x:c>
      <x:c r="F12" s="30"/>
      <x:c r="G12" s="30"/>
      <x:c r="H12" s="30"/>
    </x:row>
    <x:row r="13">
      <x:c r="A13" s="37" t="str">
        <x:v>Workflow, remediation, and documentation</x:v>
      </x:c>
      <x:c r="B13" s="30" t="n">
        <x:v>10</x:v>
      </x:c>
      <x:c r="C13" s="30" t="n">
        <x:v>5</x:v>
      </x:c>
      <x:c r="D13" s="38" t="n">
        <x:f>C13/B13</x:f>
        <x:v>0.5</x:v>
      </x:c>
      <x:c r="E13" s="39" t="str">
        <x:v>One targeted slot per missed question in this category</x:v>
      </x:c>
      <x:c r="F13" s="30"/>
      <x:c r="G13" s="30"/>
      <x:c r="H13" s="30"/>
    </x:row>
    <x:row r="14">
      <x:c r="A14" s="37" t="str">
        <x:v>Exterior, access, pools, and pets</x:v>
      </x:c>
      <x:c r="B14" s="30" t="n">
        <x:v>10</x:v>
      </x:c>
      <x:c r="C14" s="30" t="n">
        <x:v>5</x:v>
      </x:c>
      <x:c r="D14" s="38" t="n">
        <x:f>C14/B14</x:f>
        <x:v>0.5</x:v>
      </x:c>
      <x:c r="E14" s="39" t="str">
        <x:v>One targeted slot per missed question in this category</x:v>
      </x:c>
      <x:c r="F14" s="30"/>
      <x:c r="G14" s="30"/>
      <x:c r="H14" s="30"/>
    </x:row>
    <x:row r="15">
      <x:c r="A15" s="37" t="str">
        <x:v>Fire safety and emergency evacuation</x:v>
      </x:c>
      <x:c r="B15" s="30" t="n">
        <x:v>10</x:v>
      </x:c>
      <x:c r="C15" s="30" t="n">
        <x:v>5</x:v>
      </x:c>
      <x:c r="D15" s="38" t="n">
        <x:f>C15/B15</x:f>
        <x:v>0.5</x:v>
      </x:c>
      <x:c r="E15" s="39" t="str">
        <x:v>One targeted slot per missed question in this category</x:v>
      </x:c>
      <x:c r="F15" s="30"/>
      <x:c r="G15" s="30"/>
      <x:c r="H15" s="30"/>
    </x:row>
    <x:row r="16">
      <x:c r="A16" s="37" t="str">
        <x:v>Electrical, utilities, detectors, and hazards</x:v>
      </x:c>
      <x:c r="B16" s="30" t="n">
        <x:v>10</x:v>
      </x:c>
      <x:c r="C16" s="30" t="n">
        <x:v>5</x:v>
      </x:c>
      <x:c r="D16" s="38" t="n">
        <x:f>C16/B16</x:f>
        <x:v>0.5</x:v>
      </x:c>
      <x:c r="E16" s="39" t="str">
        <x:v>One targeted slot per missed question in this category</x:v>
      </x:c>
      <x:c r="F16" s="30"/>
      <x:c r="G16" s="30"/>
      <x:c r="H16" s="30"/>
    </x:row>
    <x:row r="17">
      <x:c r="A17" s="37" t="str">
        <x:v>Accessibility measurements and judgment</x:v>
      </x:c>
      <x:c r="B17" s="30" t="n">
        <x:v>10</x:v>
      </x:c>
      <x:c r="C17" s="30" t="n">
        <x:v>5</x:v>
      </x:c>
      <x:c r="D17" s="38" t="n">
        <x:f>C17/B17</x:f>
        <x:v>0.5</x:v>
      </x:c>
      <x:c r="E17" s="39" t="str">
        <x:v>One targeted slot per missed question in this category</x:v>
      </x:c>
      <x:c r="F17" s="30"/>
      <x:c r="G17" s="30"/>
      <x:c r="H17" s="30"/>
    </x:row>
    <x:row r="18">
      <x:c r="A18" s="37" t="str">
        <x:v>Kitchen and appliances</x:v>
      </x:c>
      <x:c r="B18" s="30" t="n">
        <x:v>10</x:v>
      </x:c>
      <x:c r="C18" s="30" t="n">
        <x:v>5</x:v>
      </x:c>
      <x:c r="D18" s="38" t="n">
        <x:f>C18/B18</x:f>
        <x:v>0.5</x:v>
      </x:c>
      <x:c r="E18" s="39" t="str">
        <x:v>One targeted slot per missed question in this category</x:v>
      </x:c>
      <x:c r="F18" s="30"/>
      <x:c r="G18" s="30"/>
      <x:c r="H18" s="30"/>
    </x:row>
    <x:row r="19">
      <x:c r="A19" s="37" t="str">
        <x:v>Bathroom and hallway</x:v>
      </x:c>
      <x:c r="B19" s="30" t="n">
        <x:v>10</x:v>
      </x:c>
      <x:c r="C19" s="30" t="n">
        <x:v>5</x:v>
      </x:c>
      <x:c r="D19" s="38" t="n">
        <x:f>C19/B19</x:f>
        <x:v>0.5</x:v>
      </x:c>
      <x:c r="E19" s="39" t="str">
        <x:v>One targeted slot per missed question in this category</x:v>
      </x:c>
      <x:c r="F19" s="30"/>
      <x:c r="G19" s="30"/>
      <x:c r="H19" s="30"/>
    </x:row>
    <x:row r="20">
      <x:c r="A20" s="37" t="str">
        <x:v>Bedroom and common room</x:v>
      </x:c>
      <x:c r="B20" s="30" t="n">
        <x:v>10</x:v>
      </x:c>
      <x:c r="C20" s="30" t="n">
        <x:v>5</x:v>
      </x:c>
      <x:c r="D20" s="38" t="n">
        <x:f>C20/B20</x:f>
        <x:v>0.5</x:v>
      </x:c>
      <x:c r="E20" s="39" t="str">
        <x:v>One targeted slot per missed question in this category</x:v>
      </x:c>
      <x:c r="F20" s="30"/>
      <x:c r="G20" s="30"/>
      <x:c r="H20" s="30"/>
    </x:row>
    <x:row r="21">
      <x:c r="A21" s="37" t="str">
        <x:v>Overall property and guest experience</x:v>
      </x:c>
      <x:c r="B21" s="30" t="n">
        <x:v>10</x:v>
      </x:c>
      <x:c r="C21" s="30" t="n">
        <x:v>5</x:v>
      </x:c>
      <x:c r="D21" s="38" t="n">
        <x:f>C21/B21</x:f>
        <x:v>0.5</x:v>
      </x:c>
      <x:c r="E21" s="39" t="str">
        <x:v>One targeted slot per missed question in this category</x:v>
      </x:c>
      <x:c r="F21" s="30"/>
      <x:c r="G21" s="30"/>
      <x:c r="H21" s="30"/>
    </x:row>
    <x:row r="22">
      <x:c r="A22" s="40" t="str">
        <x:v>TOTAL</x:v>
      </x:c>
      <x:c r="B22" s="41" t="n">
        <x:f>SUM(B12:B21)</x:f>
        <x:v>100</x:v>
      </x:c>
      <x:c r="C22" s="41" t="n">
        <x:f>SUM(C12:C21)</x:f>
        <x:v>50</x:v>
      </x:c>
      <x:c r="D22" s="42" t="n">
        <x:f>C22/B22</x:f>
        <x:v>0.5</x:v>
      </x:c>
      <x:c r="E22" s="43" t="str"/>
      <x:c r="F22" s="30"/>
      <x:c r="G22" s="30"/>
      <x:c r="H22" s="30"/>
    </x:row>
    <x:row r="23">
      <x:c r="A23" s="30"/>
      <x:c r="B23" s="30"/>
      <x:c r="C23" s="30"/>
      <x:c r="D23" s="30"/>
      <x:c r="E23" s="30"/>
      <x:c r="F23" s="30"/>
      <x:c r="G23" s="30"/>
      <x:c r="H23" s="30"/>
    </x:row>
    <x:row r="24" ht="44" customHeight="1">
      <x:c r="A24" s="44" t="str">
        <x:v>Retake logic: if the learner fails, half of the retake is targeted to the categories of the questions missed, one category-matched slot per missed question. The other half is broad curriculum practice, preferring unseen questions.</x:v>
      </x:c>
      <x:c r="B24" s="44"/>
      <x:c r="C24" s="44"/>
      <x:c r="D24" s="44"/>
      <x:c r="E24" s="44"/>
      <x:c r="F24" s="44"/>
      <x:c r="G24" s="44"/>
      <x:c r="H24" s="44"/>
    </x:row>
    <x:row r="25" ht="38" customHeight="1">
      <x:c r="A25" s="33" t="str">
        <x:v>Question and answer order is randomized for each attempt. Incorrect results identify missed questions but do not reveal the correct answer.</x:v>
      </x:c>
      <x:c r="B25" s="33"/>
      <x:c r="C25" s="33"/>
      <x:c r="D25" s="33"/>
      <x:c r="E25" s="33"/>
      <x:c r="F25" s="33"/>
      <x:c r="G25" s="33"/>
      <x:c r="H25" s="33"/>
    </x:row>
  </x:sheetData>
  <x:mergeCells>
    <x:mergeCell ref="A1:H1"/>
    <x:mergeCell ref="A2:H2"/>
    <x:mergeCell ref="A24:H24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6" hidden="0" customWidth="1"/>
    <x:col min="3" max="3" width="18" hidden="0" customWidth="1"/>
    <x:col min="4" max="4" width="18" hidden="0" customWidth="1"/>
    <x:col min="5" max="5" width="18" hidden="0" customWidth="1"/>
    <x:col min="6" max="6" width="42" hidden="0" customWidth="1"/>
    <x:col min="7" max="7" width="14" hidden="0" customWidth="1"/>
  </x:cols>
  <x:sheetData>
    <x:row r="1" ht="32" customHeight="1">
      <x:c r="A1" s="45" t="str">
        <x:v>Curriculum Coverage and Selection Rules</x:v>
      </x:c>
      <x:c r="B1" s="45"/>
      <x:c r="C1" s="45"/>
      <x:c r="D1" s="45"/>
      <x:c r="E1" s="45"/>
      <x:c r="F1" s="45"/>
      <x:c r="G1" s="45"/>
    </x:row>
    <x:row r="3">
      <x:c r="A3" s="47" t="str">
        <x:v>Category ID</x:v>
      </x:c>
      <x:c r="B3" s="48" t="str">
        <x:v>Category</x:v>
      </x:c>
      <x:c r="C3" s="48" t="str">
        <x:v>Pool questions</x:v>
      </x:c>
      <x:c r="D3" s="48" t="str">
        <x:v>Initial exam quota</x:v>
      </x:c>
      <x:c r="E3" s="48" t="str">
        <x:v>Initial coverage</x:v>
      </x:c>
      <x:c r="F3" s="48" t="str">
        <x:v>Retake rule</x:v>
      </x:c>
      <x:c r="G3" s="49" t="str">
        <x:v>Verification</x:v>
      </x:c>
    </x:row>
    <x:row r="4">
      <x:c r="A4" s="50" t="str">
        <x:v>fundamentals</x:v>
      </x:c>
      <x:c r="B4" s="51" t="str">
        <x:v>GuestGuard purpose and inspector role</x:v>
      </x:c>
      <x:c r="C4" s="51" t="n">
        <x:v>10</x:v>
      </x:c>
      <x:c r="D4" s="51" t="n">
        <x:v>5</x:v>
      </x:c>
      <x:c r="E4" s="52" t="n">
        <x:f>D4/C4</x:f>
        <x:v>0.5</x:v>
      </x:c>
      <x:c r="F4" s="51" t="str">
        <x:v>Same-category replacement for each missed item</x:v>
      </x:c>
      <x:c r="G4" s="53" t="str">
        <x:f>IF(C4&gt;=D4,"OK","REVIEW")</x:f>
        <x:v>OK</x:v>
      </x:c>
    </x:row>
    <x:row r="5">
      <x:c r="A5" s="50" t="str">
        <x:v>workflow</x:v>
      </x:c>
      <x:c r="B5" s="51" t="str">
        <x:v>Workflow, remediation, and documentation</x:v>
      </x:c>
      <x:c r="C5" s="51" t="n">
        <x:v>10</x:v>
      </x:c>
      <x:c r="D5" s="51" t="n">
        <x:v>5</x:v>
      </x:c>
      <x:c r="E5" s="52" t="n">
        <x:f>D5/C5</x:f>
        <x:v>0.5</x:v>
      </x:c>
      <x:c r="F5" s="51" t="str">
        <x:v>Same-category replacement for each missed item</x:v>
      </x:c>
      <x:c r="G5" s="53" t="str">
        <x:f>IF(C5&gt;=D5,"OK","REVIEW")</x:f>
        <x:v>OK</x:v>
      </x:c>
    </x:row>
    <x:row r="6">
      <x:c r="A6" s="50" t="str">
        <x:v>exterior</x:v>
      </x:c>
      <x:c r="B6" s="51" t="str">
        <x:v>Exterior, access, pools, and pets</x:v>
      </x:c>
      <x:c r="C6" s="51" t="n">
        <x:v>10</x:v>
      </x:c>
      <x:c r="D6" s="51" t="n">
        <x:v>5</x:v>
      </x:c>
      <x:c r="E6" s="52" t="n">
        <x:f>D6/C6</x:f>
        <x:v>0.5</x:v>
      </x:c>
      <x:c r="F6" s="51" t="str">
        <x:v>Same-category replacement for each missed item</x:v>
      </x:c>
      <x:c r="G6" s="53" t="str">
        <x:f>IF(C6&gt;=D6,"OK","REVIEW")</x:f>
        <x:v>OK</x:v>
      </x:c>
    </x:row>
    <x:row r="7">
      <x:c r="A7" s="50" t="str">
        <x:v>fire</x:v>
      </x:c>
      <x:c r="B7" s="51" t="str">
        <x:v>Fire safety and emergency evacuation</x:v>
      </x:c>
      <x:c r="C7" s="51" t="n">
        <x:v>10</x:v>
      </x:c>
      <x:c r="D7" s="51" t="n">
        <x:v>5</x:v>
      </x:c>
      <x:c r="E7" s="52" t="n">
        <x:f>D7/C7</x:f>
        <x:v>0.5</x:v>
      </x:c>
      <x:c r="F7" s="51" t="str">
        <x:v>Same-category replacement for each missed item</x:v>
      </x:c>
      <x:c r="G7" s="53" t="str">
        <x:f>IF(C7&gt;=D7,"OK","REVIEW")</x:f>
        <x:v>OK</x:v>
      </x:c>
    </x:row>
    <x:row r="8">
      <x:c r="A8" s="50" t="str">
        <x:v>hazards</x:v>
      </x:c>
      <x:c r="B8" s="51" t="str">
        <x:v>Electrical, utilities, detectors, and hazards</x:v>
      </x:c>
      <x:c r="C8" s="51" t="n">
        <x:v>10</x:v>
      </x:c>
      <x:c r="D8" s="51" t="n">
        <x:v>5</x:v>
      </x:c>
      <x:c r="E8" s="52" t="n">
        <x:f>D8/C8</x:f>
        <x:v>0.5</x:v>
      </x:c>
      <x:c r="F8" s="51" t="str">
        <x:v>Same-category replacement for each missed item</x:v>
      </x:c>
      <x:c r="G8" s="53" t="str">
        <x:f>IF(C8&gt;=D8,"OK","REVIEW")</x:f>
        <x:v>OK</x:v>
      </x:c>
    </x:row>
    <x:row r="9">
      <x:c r="A9" s="50" t="str">
        <x:v>accessibility</x:v>
      </x:c>
      <x:c r="B9" s="51" t="str">
        <x:v>Accessibility measurements and judgment</x:v>
      </x:c>
      <x:c r="C9" s="51" t="n">
        <x:v>10</x:v>
      </x:c>
      <x:c r="D9" s="51" t="n">
        <x:v>5</x:v>
      </x:c>
      <x:c r="E9" s="52" t="n">
        <x:f>D9/C9</x:f>
        <x:v>0.5</x:v>
      </x:c>
      <x:c r="F9" s="51" t="str">
        <x:v>Same-category replacement for each missed item</x:v>
      </x:c>
      <x:c r="G9" s="53" t="str">
        <x:f>IF(C9&gt;=D9,"OK","REVIEW")</x:f>
        <x:v>OK</x:v>
      </x:c>
    </x:row>
    <x:row r="10">
      <x:c r="A10" s="50" t="str">
        <x:v>kitchen</x:v>
      </x:c>
      <x:c r="B10" s="51" t="str">
        <x:v>Kitchen and appliances</x:v>
      </x:c>
      <x:c r="C10" s="51" t="n">
        <x:v>10</x:v>
      </x:c>
      <x:c r="D10" s="51" t="n">
        <x:v>5</x:v>
      </x:c>
      <x:c r="E10" s="52" t="n">
        <x:f>D10/C10</x:f>
        <x:v>0.5</x:v>
      </x:c>
      <x:c r="F10" s="51" t="str">
        <x:v>Same-category replacement for each missed item</x:v>
      </x:c>
      <x:c r="G10" s="53" t="str">
        <x:f>IF(C10&gt;=D10,"OK","REVIEW")</x:f>
        <x:v>OK</x:v>
      </x:c>
    </x:row>
    <x:row r="11">
      <x:c r="A11" s="50" t="str">
        <x:v>bathroom_hallway</x:v>
      </x:c>
      <x:c r="B11" s="51" t="str">
        <x:v>Bathroom and hallway</x:v>
      </x:c>
      <x:c r="C11" s="51" t="n">
        <x:v>10</x:v>
      </x:c>
      <x:c r="D11" s="51" t="n">
        <x:v>5</x:v>
      </x:c>
      <x:c r="E11" s="52" t="n">
        <x:f>D11/C11</x:f>
        <x:v>0.5</x:v>
      </x:c>
      <x:c r="F11" s="51" t="str">
        <x:v>Same-category replacement for each missed item</x:v>
      </x:c>
      <x:c r="G11" s="53" t="str">
        <x:f>IF(C11&gt;=D11,"OK","REVIEW")</x:f>
        <x:v>OK</x:v>
      </x:c>
    </x:row>
    <x:row r="12">
      <x:c r="A12" s="50" t="str">
        <x:v>bedroom_common</x:v>
      </x:c>
      <x:c r="B12" s="51" t="str">
        <x:v>Bedroom and common room</x:v>
      </x:c>
      <x:c r="C12" s="51" t="n">
        <x:v>10</x:v>
      </x:c>
      <x:c r="D12" s="51" t="n">
        <x:v>5</x:v>
      </x:c>
      <x:c r="E12" s="52" t="n">
        <x:f>D12/C12</x:f>
        <x:v>0.5</x:v>
      </x:c>
      <x:c r="F12" s="51" t="str">
        <x:v>Same-category replacement for each missed item</x:v>
      </x:c>
      <x:c r="G12" s="53" t="str">
        <x:f>IF(C12&gt;=D12,"OK","REVIEW")</x:f>
        <x:v>OK</x:v>
      </x:c>
    </x:row>
    <x:row r="13">
      <x:c r="A13" s="50" t="str">
        <x:v>overall</x:v>
      </x:c>
      <x:c r="B13" s="51" t="str">
        <x:v>Overall property and guest experience</x:v>
      </x:c>
      <x:c r="C13" s="51" t="n">
        <x:v>10</x:v>
      </x:c>
      <x:c r="D13" s="51" t="n">
        <x:v>5</x:v>
      </x:c>
      <x:c r="E13" s="52" t="n">
        <x:f>D13/C13</x:f>
        <x:v>0.5</x:v>
      </x:c>
      <x:c r="F13" s="51" t="str">
        <x:v>Same-category replacement for each missed item</x:v>
      </x:c>
      <x:c r="G13" s="53" t="str">
        <x:f>IF(C13&gt;=D13,"OK","REVIEW")</x:f>
        <x:v>OK</x:v>
      </x:c>
    </x:row>
    <x:row r="14">
      <x:c r="A14" s="54" t="str">
        <x:v>TOTAL</x:v>
      </x:c>
      <x:c r="B14" s="55" t="str"/>
      <x:c r="C14" s="55" t="n">
        <x:f>SUM(C4:C13)</x:f>
        <x:v>100</x:v>
      </x:c>
      <x:c r="D14" s="55" t="n">
        <x:f>SUM(D4:D13)</x:f>
        <x:v>50</x:v>
      </x:c>
      <x:c r="E14" s="56" t="n">
        <x:f>D14/C14</x:f>
        <x:v>0.5</x:v>
      </x:c>
      <x:c r="F14" s="55" t="str"/>
      <x:c r="G14" s="57" t="str">
        <x:f>IF(AND(C14=100,D14=50),"OK","REVIEW")</x:f>
        <x:v>OK</x:v>
      </x:c>
    </x:row>
  </x:sheetData>
  <x:mergeCells>
    <x:mergeCell ref="A1:G1"/>
  </x:mergeCells>
  <x:conditionalFormatting sqref="A4:G13">
    <x:cfRule type="expression" dxfId="0" priority="1">
      <x:formula>$G4="REVIEW"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27361a8b6bd44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5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15" hidden="0" customWidth="1"/>
    <x:col min="9" max="9" width="42" hidden="0" customWidth="1"/>
  </x:cols>
  <x:sheetData>
    <x:row r="1" ht="32" customHeight="1">
      <x:c r="A1" s="45" t="str">
        <x:v>Complete Certification Question Bank — 100 Questions</x:v>
      </x:c>
      <x:c r="B1" s="45"/>
      <x:c r="C1" s="45"/>
      <x:c r="D1" s="45"/>
      <x:c r="E1" s="45"/>
      <x:c r="F1" s="45"/>
      <x:c r="G1" s="45"/>
      <x:c r="H1" s="45"/>
      <x:c r="I1" s="45"/>
    </x:row>
    <x:row r="2" ht="25" customHeight="1">
      <x:c r="A2" s="58" t="str">
        <x:v>CONFIDENTIAL ANSWER KEY — FOR INTERNAL CONTENT REVIEW ONLY</x:v>
      </x:c>
      <x:c r="B2" s="58"/>
      <x:c r="C2" s="58"/>
      <x:c r="D2" s="58"/>
      <x:c r="E2" s="58"/>
      <x:c r="F2" s="58"/>
      <x:c r="G2" s="58"/>
      <x:c r="H2" s="58"/>
      <x:c r="I2" s="58"/>
    </x:row>
    <x:row r="4" ht="54" customHeight="1">
      <x:c r="A4" s="47" t="str">
        <x:v>Question ID</x:v>
      </x:c>
      <x:c r="B4" s="48" t="str">
        <x:v>Category</x:v>
      </x:c>
      <x:c r="C4" s="48" t="str">
        <x:v>Question</x:v>
      </x:c>
      <x:c r="D4" s="48" t="str">
        <x:v>Answer A</x:v>
      </x:c>
      <x:c r="E4" s="48" t="str">
        <x:v>Answer B</x:v>
      </x:c>
      <x:c r="F4" s="48" t="str">
        <x:v>Answer C</x:v>
      </x:c>
      <x:c r="G4" s="48" t="str">
        <x:v>Answer D</x:v>
      </x:c>
      <x:c r="H4" s="48" t="str">
        <x:v>Correct option</x:v>
      </x:c>
      <x:c r="I4" s="49" t="str">
        <x:v>Correct answer</x:v>
      </x:c>
    </x:row>
    <x:row r="5" ht="54" customHeight="1">
      <x:c r="A5" s="64" t="str">
        <x:v>q001</x:v>
      </x:c>
      <x:c r="B5" s="60" t="str">
        <x:v>GuestGuard purpose and inspector role</x:v>
      </x:c>
      <x:c r="C5" s="60" t="str">
        <x:v>What is GuestGuard’s primary role in the short-term rental industry?</x:v>
      </x:c>
      <x:c r="D5" s="60" t="str">
        <x:v>A third-party auditing system for property quality and consistency</x:v>
      </x:c>
      <x:c r="E5" s="60" t="str">
        <x:v>A booking marketplace that sets nightly prices for rental properties</x:v>
      </x:c>
      <x:c r="F5" s="60" t="str">
        <x:v>A property manager that handles reservations and guest communication</x:v>
      </x:c>
      <x:c r="G5" s="60" t="str">
        <x:v>A licensing board that regulates residential building construction</x:v>
      </x:c>
      <x:c r="H5" s="63" t="str">
        <x:v>A</x:v>
      </x:c>
      <x:c r="I5" s="65" t="str">
        <x:v>A third-party auditing system for property quality and consistency</x:v>
      </x:c>
    </x:row>
    <x:row r="6" ht="54" customHeight="1">
      <x:c r="A6" s="66" t="str">
        <x:v>q002</x:v>
      </x:c>
      <x:c r="B6" s="61" t="str">
        <x:v>GuestGuard purpose and inspector role</x:v>
      </x:c>
      <x:c r="C6" s="61" t="str">
        <x:v>How does a GuestGuard inspection differ from a traditional home inspection?</x:v>
      </x:c>
      <x:c r="D6" s="61" t="str">
        <x:v>It evaluates only cosmetic features that appear in listing photographs</x:v>
      </x:c>
      <x:c r="E6" s="61" t="str">
        <x:v>It focuses on the guest experience rather than a buyer’s structural concerns</x:v>
      </x:c>
      <x:c r="F6" s="61" t="str">
        <x:v>It replaces professional observation with a host-completed questionnaire</x:v>
      </x:c>
      <x:c r="G6" s="61" t="str">
        <x:v>It concentrates on estimating repairs before a residential property sale</x:v>
      </x:c>
      <x:c r="H6" s="63" t="str">
        <x:v>B</x:v>
      </x:c>
      <x:c r="I6" s="65" t="str">
        <x:v>It focuses on the guest experience rather than a buyer’s structural concerns</x:v>
      </x:c>
    </x:row>
    <x:row r="7" ht="54" customHeight="1">
      <x:c r="A7" s="64" t="str">
        <x:v>q003</x:v>
      </x:c>
      <x:c r="B7" s="60" t="str">
        <x:v>GuestGuard purpose and inspector role</x:v>
      </x:c>
      <x:c r="C7" s="60" t="str">
        <x:v>Which set best describes the main GuestGuard inspection focus?</x:v>
      </x:c>
      <x:c r="D7" s="60" t="str">
        <x:v>Pricing, occupancy, advertising, revenue, and local tax compliance</x:v>
      </x:c>
      <x:c r="E7" s="60" t="str">
        <x:v>Structure, foundation, roofing, resale value, and title documentation</x:v>
      </x:c>
      <x:c r="F7" s="60" t="str">
        <x:v>Safety, comfort, accessibility, cleanliness, and guest amenities</x:v>
      </x:c>
      <x:c r="G7" s="60" t="str">
        <x:v>Reservations, cancellations, refunds, reviews, and host availability</x:v>
      </x:c>
      <x:c r="H7" s="63" t="str">
        <x:v>C</x:v>
      </x:c>
      <x:c r="I7" s="65" t="str">
        <x:v>Safety, comfort, accessibility, cleanliness, and guest amenities</x:v>
      </x:c>
    </x:row>
    <x:row r="8" ht="54" customHeight="1">
      <x:c r="A8" s="66" t="str">
        <x:v>q004</x:v>
      </x:c>
      <x:c r="B8" s="61" t="str">
        <x:v>GuestGuard purpose and inspector role</x:v>
      </x:c>
      <x:c r="C8" s="61" t="str">
        <x:v>Why does GuestGuard use a standardized inspection framework?</x:v>
      </x:c>
      <x:c r="D8" s="61" t="str">
        <x:v>To guarantee that every certified property has identical furniture</x:v>
      </x:c>
      <x:c r="E8" s="61" t="str">
        <x:v>To eliminate the need for inspectors to use professional judgment</x:v>
      </x:c>
      <x:c r="F8" s="61" t="str">
        <x:v>To determine which booking platform must advertise each property</x:v>
      </x:c>
      <x:c r="G8" s="61" t="str">
        <x:v>To give guests verified information and hosts consistent standards</x:v>
      </x:c>
      <x:c r="H8" s="63" t="str">
        <x:v>D</x:v>
      </x:c>
      <x:c r="I8" s="65" t="str">
        <x:v>To give guests verified information and hosts consistent standards</x:v>
      </x:c>
    </x:row>
    <x:row r="9" ht="54" customHeight="1">
      <x:c r="A9" s="64" t="str">
        <x:v>q005</x:v>
      </x:c>
      <x:c r="B9" s="60" t="str">
        <x:v>GuestGuard purpose and inspector role</x:v>
      </x:c>
      <x:c r="C9" s="60" t="str">
        <x:v>What is a major benefit of certification for a property host?</x:v>
      </x:c>
      <x:c r="D9" s="60" t="str">
        <x:v>It guarantees a specific occupancy rate during every travel season</x:v>
      </x:c>
      <x:c r="E9" s="60" t="str">
        <x:v>It provides a marketing asset and actionable property feedback</x:v>
      </x:c>
      <x:c r="F9" s="60" t="str">
        <x:v>It transfers responsibility for property maintenance to GuestGuard</x:v>
      </x:c>
      <x:c r="G9" s="60" t="str">
        <x:v>It automatically satisfies every local rental licensing requirement</x:v>
      </x:c>
      <x:c r="H9" s="63" t="str">
        <x:v>B</x:v>
      </x:c>
      <x:c r="I9" s="65" t="str">
        <x:v>It provides a marketing asset and actionable property feedback</x:v>
      </x:c>
    </x:row>
    <x:row r="10" ht="54" customHeight="1">
      <x:c r="A10" s="66" t="str">
        <x:v>q006</x:v>
      </x:c>
      <x:c r="B10" s="61" t="str">
        <x:v>GuestGuard purpose and inspector role</x:v>
      </x:c>
      <x:c r="C10" s="61" t="str">
        <x:v>What should guide an inspector’s judgment throughout the rubric?</x:v>
      </x:c>
      <x:c r="D10" s="61" t="str">
        <x:v>Whether a guest would feel comfortable and well cared for</x:v>
      </x:c>
      <x:c r="E10" s="61" t="str">
        <x:v>Whether the property resembles other rentals in the neighborhood</x:v>
      </x:c>
      <x:c r="F10" s="61" t="str">
        <x:v>Whether the host has chosen the least expensive available equipment</x:v>
      </x:c>
      <x:c r="G10" s="61" t="str">
        <x:v>Whether each room contains the same number of listed amenities</x:v>
      </x:c>
      <x:c r="H10" s="63" t="str">
        <x:v>A</x:v>
      </x:c>
      <x:c r="I10" s="65" t="str">
        <x:v>Whether a guest would feel comfortable and well cared for</x:v>
      </x:c>
    </x:row>
    <x:row r="11" ht="54" customHeight="1">
      <x:c r="A11" s="64" t="str">
        <x:v>q007</x:v>
      </x:c>
      <x:c r="B11" s="60" t="str">
        <x:v>GuestGuard purpose and inspector role</x:v>
      </x:c>
      <x:c r="C11" s="60" t="str">
        <x:v>Why are many of the 169 rubric questions conditional?</x:v>
      </x:c>
      <x:c r="D11" s="60" t="str">
        <x:v>They are reserved for inspectors who hold additional state licenses</x:v>
      </x:c>
      <x:c r="E11" s="60" t="str">
        <x:v>They are selected according to the host’s preferred inspection length</x:v>
      </x:c>
      <x:c r="F11" s="60" t="str">
        <x:v>They appear only after the inspector completes the overall property score</x:v>
      </x:c>
      <x:c r="G11" s="60" t="str">
        <x:v>They appear only when a property feature makes them relevant</x:v>
      </x:c>
      <x:c r="H11" s="63" t="str">
        <x:v>D</x:v>
      </x:c>
      <x:c r="I11" s="65" t="str">
        <x:v>They appear only when a property feature makes them relevant</x:v>
      </x:c>
    </x:row>
    <x:row r="12" ht="54" customHeight="1">
      <x:c r="A12" s="66" t="str">
        <x:v>q008</x:v>
      </x:c>
      <x:c r="B12" s="61" t="str">
        <x:v>GuestGuard purpose and inspector role</x:v>
      </x:c>
      <x:c r="C12" s="61" t="str">
        <x:v>What is the inspector’s responsibility when a hazard is found?</x:v>
      </x:c>
      <x:c r="D12" s="61" t="str">
        <x:v>Repair the hazard if the work can be completed during the visit</x:v>
      </x:c>
      <x:c r="E12" s="61" t="str">
        <x:v>Decide whether the property must be removed from all rental platforms</x:v>
      </x:c>
      <x:c r="F12" s="61" t="str">
        <x:v>Document the condition clearly so the host can address it</x:v>
      </x:c>
      <x:c r="G12" s="61" t="str">
        <x:v>Negotiate a repair schedule directly with the next arriving guest</x:v>
      </x:c>
      <x:c r="H12" s="63" t="str">
        <x:v>C</x:v>
      </x:c>
      <x:c r="I12" s="65" t="str">
        <x:v>Document the condition clearly so the host can address it</x:v>
      </x:c>
    </x:row>
    <x:row r="13" ht="54" customHeight="1">
      <x:c r="A13" s="64" t="str">
        <x:v>q009</x:v>
      </x:c>
      <x:c r="B13" s="60" t="str">
        <x:v>GuestGuard purpose and inspector role</x:v>
      </x:c>
      <x:c r="C13" s="60" t="str">
        <x:v>What professional activities carry over from traditional inspection work?</x:v>
      </x:c>
      <x:c r="D13" s="60" t="str">
        <x:v>Observing, testing, measuring, and documenting property conditions</x:v>
      </x:c>
      <x:c r="E13" s="60" t="str">
        <x:v>Advertising, booking, collecting deposits, and resolving guest disputes</x:v>
      </x:c>
      <x:c r="F13" s="60" t="str">
        <x:v>Appraising, financing, underwriting, and transferring property ownership</x:v>
      </x:c>
      <x:c r="G13" s="60" t="str">
        <x:v>Designing, permitting, constructing, and furnishing rental properties</x:v>
      </x:c>
      <x:c r="H13" s="63" t="str">
        <x:v>A</x:v>
      </x:c>
      <x:c r="I13" s="65" t="str">
        <x:v>Observing, testing, measuring, and documenting property conditions</x:v>
      </x:c>
    </x:row>
    <x:row r="14" ht="54" customHeight="1">
      <x:c r="A14" s="66" t="str">
        <x:v>q010</x:v>
      </x:c>
      <x:c r="B14" s="61" t="str">
        <x:v>GuestGuard purpose and inspector role</x:v>
      </x:c>
      <x:c r="C14" s="61" t="str">
        <x:v>Why are amenities recorded even when they are not strict pass-fail items?</x:v>
      </x:c>
      <x:c r="D14" s="61" t="str">
        <x:v>They determine which inspector receives the next available assignment</x:v>
      </x:c>
      <x:c r="E14" s="61" t="str">
        <x:v>They replace safety findings when a property has premium features</x:v>
      </x:c>
      <x:c r="F14" s="61" t="str">
        <x:v>They establish the property’s assessed value for insurance purposes</x:v>
      </x:c>
      <x:c r="G14" s="61" t="str">
        <x:v>They help guests understand the experience the property provides</x:v>
      </x:c>
      <x:c r="H14" s="63" t="str">
        <x:v>D</x:v>
      </x:c>
      <x:c r="I14" s="65" t="str">
        <x:v>They help guests understand the experience the property provides</x:v>
      </x:c>
    </x:row>
    <x:row r="15" ht="54" customHeight="1">
      <x:c r="A15" s="64" t="str">
        <x:v>q011</x:v>
      </x:c>
      <x:c r="B15" s="60" t="str">
        <x:v>Workflow, remediation, and documentation</x:v>
      </x:c>
      <x:c r="C15" s="60" t="str">
        <x:v>How should an inspector move through the property?</x:v>
      </x:c>
      <x:c r="D15" s="60" t="str">
        <x:v>Complete all safety questions first, then return for the remaining items</x:v>
      </x:c>
      <x:c r="E15" s="60" t="str">
        <x:v>Finish each room before moving to the next room</x:v>
      </x:c>
      <x:c r="F15" s="60" t="str">
        <x:v>Photograph every room first, then complete the rubric off-site</x:v>
      </x:c>
      <x:c r="G15" s="60" t="str">
        <x:v>Begin with amenities and leave utility checks until the final pass</x:v>
      </x:c>
      <x:c r="H15" s="63" t="str">
        <x:v>B</x:v>
      </x:c>
      <x:c r="I15" s="65" t="str">
        <x:v>Finish each room before moving to the next room</x:v>
      </x:c>
    </x:row>
    <x:row r="16" ht="54" customHeight="1">
      <x:c r="A16" s="66" t="str">
        <x:v>q012</x:v>
      </x:c>
      <x:c r="B16" s="61" t="str">
        <x:v>Workflow, remediation, and documentation</x:v>
      </x:c>
      <x:c r="C16" s="61" t="str">
        <x:v>Which device is recommended for completing an inspection?</x:v>
      </x:c>
      <x:c r="D16" s="61" t="str">
        <x:v>A tablet because its room-by-room view is compact and easy to use</x:v>
      </x:c>
      <x:c r="E16" s="61" t="str">
        <x:v>A desktop computer because the rubric requires a wired connection</x:v>
      </x:c>
      <x:c r="F16" s="61" t="str">
        <x:v>A digital camera because mobile devices cannot upload inspection evidence</x:v>
      </x:c>
      <x:c r="G16" s="61" t="str">
        <x:v>A paper checklist because electronic responses are entered after the visit</x:v>
      </x:c>
      <x:c r="H16" s="63" t="str">
        <x:v>A</x:v>
      </x:c>
      <x:c r="I16" s="65" t="str">
        <x:v>A tablet because its room-by-room view is compact and easy to use</x:v>
      </x:c>
    </x:row>
    <x:row r="17" ht="54" customHeight="1">
      <x:c r="A17" s="64" t="str">
        <x:v>q013</x:v>
      </x:c>
      <x:c r="B17" s="60" t="str">
        <x:v>Workflow, remediation, and documentation</x:v>
      </x:c>
      <x:c r="C17" s="60" t="str">
        <x:v>What happens after an inspector marks “no” on a remediable item?</x:v>
      </x:c>
      <x:c r="D17" s="60" t="str">
        <x:v>The entire inspection closes and must be restarted by corporate staff</x:v>
      </x:c>
      <x:c r="E17" s="60" t="str">
        <x:v>The host receives an automatic certification with a warning attached</x:v>
      </x:c>
      <x:c r="F17" s="60" t="str">
        <x:v>A description is requested and a remediation task is created</x:v>
      </x:c>
      <x:c r="G17" s="60" t="str">
        <x:v>The inspector must purchase the missing item before leaving the property</x:v>
      </x:c>
      <x:c r="H17" s="63" t="str">
        <x:v>C</x:v>
      </x:c>
      <x:c r="I17" s="65" t="str">
        <x:v>A description is requested and a remediation task is created</x:v>
      </x:c>
    </x:row>
    <x:row r="18" ht="54" customHeight="1">
      <x:c r="A18" s="66" t="str">
        <x:v>q014</x:v>
      </x:c>
      <x:c r="B18" s="61" t="str">
        <x:v>Workflow, remediation, and documentation</x:v>
      </x:c>
      <x:c r="C18" s="61" t="str">
        <x:v>Who signs off after a host submits evidence that a remediation was completed?</x:v>
      </x:c>
      <x:c r="D18" s="61" t="str">
        <x:v>The next guest who books the certified rental property</x:v>
      </x:c>
      <x:c r="E18" s="61" t="str">
        <x:v>The local building department responsible for occupancy permits</x:v>
      </x:c>
      <x:c r="F18" s="61" t="str">
        <x:v>The inspector’s employer without reviewing the submitted evidence</x:v>
      </x:c>
      <x:c r="G18" s="61" t="str">
        <x:v>The GuestGuard corporate team after reviewing the correction</x:v>
      </x:c>
      <x:c r="H18" s="63" t="str">
        <x:v>D</x:v>
      </x:c>
      <x:c r="I18" s="65" t="str">
        <x:v>The GuestGuard corporate team after reviewing the correction</x:v>
      </x:c>
    </x:row>
    <x:row r="19" ht="54" customHeight="1">
      <x:c r="A19" s="64" t="str">
        <x:v>q015</x:v>
      </x:c>
      <x:c r="B19" s="60" t="str">
        <x:v>Workflow, remediation, and documentation</x:v>
      </x:c>
      <x:c r="C19" s="60" t="str">
        <x:v>What is the expected duration of a typical GuestGuard inspection?</x:v>
      </x:c>
      <x:c r="D19" s="60" t="str">
        <x:v>Approximately fifteen to thirty minutes for a standard property</x:v>
      </x:c>
      <x:c r="E19" s="60" t="str">
        <x:v>Approximately one to two hours for a standard property</x:v>
      </x:c>
      <x:c r="F19" s="60" t="str">
        <x:v>Approximately three to four hours regardless of property features</x:v>
      </x:c>
      <x:c r="G19" s="60" t="str">
        <x:v>Approximately one full workday for every certified rental property</x:v>
      </x:c>
      <x:c r="H19" s="63" t="str">
        <x:v>B</x:v>
      </x:c>
      <x:c r="I19" s="65" t="str">
        <x:v>Approximately one to two hours for a standard property</x:v>
      </x:c>
    </x:row>
    <x:row r="20" ht="54" customHeight="1">
      <x:c r="A20" s="66" t="str">
        <x:v>q016</x:v>
      </x:c>
      <x:c r="B20" s="61" t="str">
        <x:v>Workflow, remediation, and documentation</x:v>
      </x:c>
      <x:c r="C20" s="61" t="str">
        <x:v>Why would a five-to-ten-minute inspection raise concern?</x:v>
      </x:c>
      <x:c r="D20" s="61" t="str">
        <x:v>It suggests the inspection was not completed with adequate care</x:v>
      </x:c>
      <x:c r="E20" s="61" t="str">
        <x:v>It means the host selected too few available appointment windows</x:v>
      </x:c>
      <x:c r="F20" s="61" t="str">
        <x:v>It prevents the digital platform from saving photographs correctly</x:v>
      </x:c>
      <x:c r="G20" s="61" t="str">
        <x:v>It indicates the inspector used a tablet instead of a computer</x:v>
      </x:c>
      <x:c r="H20" s="63" t="str">
        <x:v>A</x:v>
      </x:c>
      <x:c r="I20" s="65" t="str">
        <x:v>It suggests the inspection was not completed with adequate care</x:v>
      </x:c>
    </x:row>
    <x:row r="21" ht="54" customHeight="1">
      <x:c r="A21" s="64" t="str">
        <x:v>q017</x:v>
      </x:c>
      <x:c r="B21" s="60" t="str">
        <x:v>Workflow, remediation, and documentation</x:v>
      </x:c>
      <x:c r="C21" s="60" t="str">
        <x:v>What are the three job stages described in the training?</x:v>
      </x:c>
      <x:c r="D21" s="60" t="str">
        <x:v>Requested, scheduled, and invoiced</x:v>
      </x:c>
      <x:c r="E21" s="60" t="str">
        <x:v>Pending, reviewed, and certified</x:v>
      </x:c>
      <x:c r="F21" s="60" t="str">
        <x:v>Open, inspected, and remediated</x:v>
      </x:c>
      <x:c r="G21" s="60" t="str">
        <x:v>Unassigned, assigned, and accepted</x:v>
      </x:c>
      <x:c r="H21" s="63" t="str">
        <x:v>D</x:v>
      </x:c>
      <x:c r="I21" s="65" t="str">
        <x:v>Unassigned, assigned, and accepted</x:v>
      </x:c>
    </x:row>
    <x:row r="22" ht="54" customHeight="1">
      <x:c r="A22" s="66" t="str">
        <x:v>q018</x:v>
      </x:c>
      <x:c r="B22" s="61" t="str">
        <x:v>Workflow, remediation, and documentation</x:v>
      </x:c>
      <x:c r="C22" s="61" t="str">
        <x:v>What should an inspector do after viewing the host’s available time slots?</x:v>
      </x:c>
      <x:c r="D22" s="61" t="str">
        <x:v>Select a slot and wait for the report to be completed by the host</x:v>
      </x:c>
      <x:c r="E22" s="61" t="str">
        <x:v>Create a new slot without consulting the host’s requested schedule</x:v>
      </x:c>
      <x:c r="F22" s="61" t="str">
        <x:v>Accept one slot so the job becomes active and awaits the report</x:v>
      </x:c>
      <x:c r="G22" s="61" t="str">
        <x:v>Assign the job to corporate before choosing an inspection time</x:v>
      </x:c>
      <x:c r="H22" s="63" t="str">
        <x:v>C</x:v>
      </x:c>
      <x:c r="I22" s="65" t="str">
        <x:v>Accept one slot so the job becomes active and awaits the report</x:v>
      </x:c>
    </x:row>
    <x:row r="23" ht="54" customHeight="1">
      <x:c r="A23" s="64" t="str">
        <x:v>q019</x:v>
      </x:c>
      <x:c r="B23" s="60" t="str">
        <x:v>Workflow, remediation, and documentation</x:v>
      </x:c>
      <x:c r="C23" s="60" t="str">
        <x:v>What two purposes do inspection photographs serve?</x:v>
      </x:c>
      <x:c r="D23" s="60" t="str">
        <x:v>They support the guest listing and document observations for the host</x:v>
      </x:c>
      <x:c r="E23" s="60" t="str">
        <x:v>They replace written findings and eliminate the remediation process</x:v>
      </x:c>
      <x:c r="F23" s="60" t="str">
        <x:v>They verify inspector travel and determine geographic job assignments</x:v>
      </x:c>
      <x:c r="G23" s="60" t="str">
        <x:v>They establish property ownership and confirm the host’s tax records</x:v>
      </x:c>
      <x:c r="H23" s="63" t="str">
        <x:v>A</x:v>
      </x:c>
      <x:c r="I23" s="65" t="str">
        <x:v>They support the guest listing and document observations for the host</x:v>
      </x:c>
    </x:row>
    <x:row r="24" ht="54" customHeight="1">
      <x:c r="A24" s="66" t="str">
        <x:v>q020</x:v>
      </x:c>
      <x:c r="B24" s="61" t="str">
        <x:v>Workflow, remediation, and documentation</x:v>
      </x:c>
      <x:c r="C24" s="61" t="str">
        <x:v>How should a photo of a flagged condition be taken?</x:v>
      </x:c>
      <x:c r="D24" s="61" t="str">
        <x:v>From a distance so the entire room appears in a single image</x:v>
      </x:c>
      <x:c r="E24" s="61" t="str">
        <x:v>Clearly and carefully so the host can understand the condition</x:v>
      </x:c>
      <x:c r="F24" s="61" t="str">
        <x:v>Only after the host has corrected the condition during the visit</x:v>
      </x:c>
      <x:c r="G24" s="61" t="str">
        <x:v>Without lighting so the image reflects the room’s normal appearance</x:v>
      </x:c>
      <x:c r="H24" s="63" t="str">
        <x:v>B</x:v>
      </x:c>
      <x:c r="I24" s="65" t="str">
        <x:v>Clearly and carefully so the host can understand the condition</x:v>
      </x:c>
    </x:row>
    <x:row r="25" ht="54" customHeight="1">
      <x:c r="A25" s="64" t="str">
        <x:v>q021</x:v>
      </x:c>
      <x:c r="B25" s="60" t="str">
        <x:v>Exterior, access, pools, and pets</x:v>
      </x:c>
      <x:c r="C25" s="60" t="str">
        <x:v>Why must exterior walkways be clear and properly marked?</x:v>
      </x:c>
      <x:c r="D25" s="60" t="str">
        <x:v>They provide an unobstructed route during emergency egress</x:v>
      </x:c>
      <x:c r="E25" s="60" t="str">
        <x:v>They create additional space for storing outdoor maintenance equipment</x:v>
      </x:c>
      <x:c r="F25" s="60" t="str">
        <x:v>They prevent guests from using entrances reserved for property staff</x:v>
      </x:c>
      <x:c r="G25" s="60" t="str">
        <x:v>They allow inspectors to skip the property’s interior exit assessment</x:v>
      </x:c>
      <x:c r="H25" s="63" t="str">
        <x:v>A</x:v>
      </x:c>
      <x:c r="I25" s="65" t="str">
        <x:v>They provide an unobstructed route during emergency egress</x:v>
      </x:c>
    </x:row>
    <x:row r="26" ht="54" customHeight="1">
      <x:c r="A26" s="66" t="str">
        <x:v>q022</x:v>
      </x:c>
      <x:c r="B26" s="61" t="str">
        <x:v>Exterior, access, pools, and pets</x:v>
      </x:c>
      <x:c r="C26" s="61" t="str">
        <x:v>How close should accessible parking be to the front door?</x:v>
      </x:c>
      <x:c r="D26" s="61" t="str">
        <x:v>Within fifteen feet of the front door</x:v>
      </x:c>
      <x:c r="E26" s="61" t="str">
        <x:v>Within twenty feet of the front door</x:v>
      </x:c>
      <x:c r="F26" s="61" t="str">
        <x:v>Within thirty feet of the front door</x:v>
      </x:c>
      <x:c r="G26" s="61" t="str">
        <x:v>Within fifty feet of the front door</x:v>
      </x:c>
      <x:c r="H26" s="63" t="str">
        <x:v>C</x:v>
      </x:c>
      <x:c r="I26" s="65" t="str">
        <x:v>Within thirty feet of the front door</x:v>
      </x:c>
    </x:row>
    <x:row r="27" ht="54" customHeight="1">
      <x:c r="A27" s="64" t="str">
        <x:v>q023</x:v>
      </x:c>
      <x:c r="B27" s="60" t="str">
        <x:v>Exterior, access, pools, and pets</x:v>
      </x:c>
      <x:c r="C27" s="60" t="str">
        <x:v>What minimum clearance is required on each side of a parked car?</x:v>
      </x:c>
      <x:c r="D27" s="60" t="str">
        <x:v>At least eighteen inches on each side</x:v>
      </x:c>
      <x:c r="E27" s="60" t="str">
        <x:v>At least twenty-five inches on each side</x:v>
      </x:c>
      <x:c r="F27" s="60" t="str">
        <x:v>At least thirty-six inches on each side</x:v>
      </x:c>
      <x:c r="G27" s="60" t="str">
        <x:v>At least forty-eight inches on each side</x:v>
      </x:c>
      <x:c r="H27" s="63" t="str">
        <x:v>B</x:v>
      </x:c>
      <x:c r="I27" s="65" t="str">
        <x:v>At least twenty-five inches on each side</x:v>
      </x:c>
    </x:row>
    <x:row r="28" ht="54" customHeight="1">
      <x:c r="A28" s="66" t="str">
        <x:v>q024</x:v>
      </x:c>
      <x:c r="B28" s="61" t="str">
        <x:v>Exterior, access, pools, and pets</x:v>
      </x:c>
      <x:c r="C28" s="61" t="str">
        <x:v>Why should overgrown shrubbery near the property be flagged?</x:v>
      </x:c>
      <x:c r="D28" s="61" t="str">
        <x:v>It can interfere with the property’s wireless internet connection</x:v>
      </x:c>
      <x:c r="E28" s="61" t="str">
        <x:v>It can prevent the host from documenting cleaning procedures</x:v>
      </x:c>
      <x:c r="F28" s="61" t="str">
        <x:v>It can make outdoor cooking equipment difficult to photograph</x:v>
      </x:c>
      <x:c r="G28" s="61" t="str">
        <x:v>It can provide cover for an intruder near the property</x:v>
      </x:c>
      <x:c r="H28" s="63" t="str">
        <x:v>D</x:v>
      </x:c>
      <x:c r="I28" s="65" t="str">
        <x:v>It can provide cover for an intruder near the property</x:v>
      </x:c>
    </x:row>
    <x:row r="29" ht="54" customHeight="1">
      <x:c r="A29" s="64" t="str">
        <x:v>q025</x:v>
      </x:c>
      <x:c r="B29" s="60" t="str">
        <x:v>Exterior, access, pools, and pets</x:v>
      </x:c>
      <x:c r="C29" s="60" t="str">
        <x:v>What should be documented when a lockbox or coded lock is present?</x:v>
      </x:c>
      <x:c r="D29" s="60" t="str">
        <x:v>Its purchase receipt and the date the host installed it</x:v>
      </x:c>
      <x:c r="E29" s="60" t="str">
        <x:v>Its location and a photograph of the access device</x:v>
      </x:c>
      <x:c r="F29" s="60" t="str">
        <x:v>Its combination code and the names of all authorized users</x:v>
      </x:c>
      <x:c r="G29" s="60" t="str">
        <x:v>Its manufacturer warranty and replacement battery schedule</x:v>
      </x:c>
      <x:c r="H29" s="63" t="str">
        <x:v>B</x:v>
      </x:c>
      <x:c r="I29" s="65" t="str">
        <x:v>Its location and a photograph of the access device</x:v>
      </x:c>
    </x:row>
    <x:row r="30" ht="54" customHeight="1">
      <x:c r="A30" s="66" t="str">
        <x:v>q026</x:v>
      </x:c>
      <x:c r="B30" s="61" t="str">
        <x:v>Exterior, access, pools, and pets</x:v>
      </x:c>
      <x:c r="C30" s="61" t="str">
        <x:v>Which pool condition satisfies the gate-lock portion of the rubric?</x:v>
      </x:c>
      <x:c r="D30" s="61" t="str">
        <x:v>A functional latch, even when it is not a keyed lock</x:v>
      </x:c>
      <x:c r="E30" s="61" t="str">
        <x:v>A gate that closes only when pushed from the pool side</x:v>
      </x:c>
      <x:c r="F30" s="61" t="str">
        <x:v>A removable barrier stored near the pool equipment area</x:v>
      </x:c>
      <x:c r="G30" s="61" t="str">
        <x:v>A posted rule instructing guests to keep the gate closed</x:v>
      </x:c>
      <x:c r="H30" s="63" t="str">
        <x:v>A</x:v>
      </x:c>
      <x:c r="I30" s="65" t="str">
        <x:v>A functional latch, even when it is not a keyed lock</x:v>
      </x:c>
    </x:row>
    <x:row r="31" ht="54" customHeight="1">
      <x:c r="A31" s="64" t="str">
        <x:v>q027</x:v>
      </x:c>
      <x:c r="B31" s="60" t="str">
        <x:v>Exterior, access, pools, and pets</x:v>
      </x:c>
      <x:c r="C31" s="60" t="str">
        <x:v>What pool-fence measurements should an inspector record?</x:v>
      </x:c>
      <x:c r="D31" s="60" t="str">
        <x:v>Fence length, post depth, and distance from the property</x:v>
      </x:c>
      <x:c r="E31" s="60" t="str">
        <x:v>Gate width, hinge size, and distance from the water</x:v>
      </x:c>
      <x:c r="F31" s="60" t="str">
        <x:v>Fence height and the largest vertical and horizontal gaps</x:v>
      </x:c>
      <x:c r="G31" s="60" t="str">
        <x:v>Panel thickness and the number of visible support posts</x:v>
      </x:c>
      <x:c r="H31" s="63" t="str">
        <x:v>C</x:v>
      </x:c>
      <x:c r="I31" s="65" t="str">
        <x:v>Fence height and the largest vertical and horizontal gaps</x:v>
      </x:c>
    </x:row>
    <x:row r="32" ht="54" customHeight="1">
      <x:c r="A32" s="66" t="str">
        <x:v>q028</x:v>
      </x:c>
      <x:c r="B32" s="61" t="str">
        <x:v>Exterior, access, pools, and pets</x:v>
      </x:c>
      <x:c r="C32" s="61" t="str">
        <x:v>Why should a hot-tub cover be on when the hot tub is not in use?</x:v>
      </x:c>
      <x:c r="D32" s="61" t="str">
        <x:v>To preserve the manufacturer warranty on the heating system</x:v>
      </x:c>
      <x:c r="E32" s="61" t="str">
        <x:v>To reduce the time required for the cleanliness assessment</x:v>
      </x:c>
      <x:c r="F32" s="61" t="str">
        <x:v>To prevent chemicals from being stored near the equipment</x:v>
      </x:c>
      <x:c r="G32" s="61" t="str">
        <x:v>To improve safety for children and pets around the hot tub</x:v>
      </x:c>
      <x:c r="H32" s="63" t="str">
        <x:v>D</x:v>
      </x:c>
      <x:c r="I32" s="65" t="str">
        <x:v>To improve safety for children and pets around the hot tub</x:v>
      </x:c>
    </x:row>
    <x:row r="33" ht="54" customHeight="1">
      <x:c r="A33" s="64" t="str">
        <x:v>q029</x:v>
      </x:c>
      <x:c r="B33" s="60" t="str">
        <x:v>Exterior, access, pools, and pets</x:v>
      </x:c>
      <x:c r="C33" s="60" t="str">
        <x:v>When do the exterior pet-friendly questions apply?</x:v>
      </x:c>
      <x:c r="D33" s="60" t="str">
        <x:v>When the host allows guests to bring pets to the property</x:v>
      </x:c>
      <x:c r="E33" s="60" t="str">
        <x:v>When the inspector observes any animal near the property</x:v>
      </x:c>
      <x:c r="F33" s="60" t="str">
        <x:v>When the rental is located within walking distance of a park</x:v>
      </x:c>
      <x:c r="G33" s="60" t="str">
        <x:v>When the exterior includes a fenced patio or cooking area</x:v>
      </x:c>
      <x:c r="H33" s="63" t="str">
        <x:v>A</x:v>
      </x:c>
      <x:c r="I33" s="65" t="str">
        <x:v>When the host allows guests to bring pets to the property</x:v>
      </x:c>
    </x:row>
    <x:row r="34" ht="54" customHeight="1">
      <x:c r="A34" s="66" t="str">
        <x:v>q030</x:v>
      </x:c>
      <x:c r="B34" s="61" t="str">
        <x:v>Exterior, access, pools, and pets</x:v>
      </x:c>
      <x:c r="C34" s="61" t="str">
        <x:v>Which set belongs to the exterior pet-friendly assessment?</x:v>
      </x:c>
      <x:c r="D34" s="61" t="str">
        <x:v>Indoor crates, pet food, grooming tools, and veterinary records</x:v>
      </x:c>
      <x:c r="E34" s="61" t="str">
        <x:v>Walking access, fenced dog space, and waste disposal facilities</x:v>
      </x:c>
      <x:c r="F34" s="61" t="str">
        <x:v>Pet insurance, vaccination records, and emergency contact numbers</x:v>
      </x:c>
      <x:c r="G34" s="61" t="str">
        <x:v>Floor coverings, feeding schedules, and designated sleeping areas</x:v>
      </x:c>
      <x:c r="H34" s="63" t="str">
        <x:v>B</x:v>
      </x:c>
      <x:c r="I34" s="65" t="str">
        <x:v>Walking access, fenced dog space, and waste disposal facilities</x:v>
      </x:c>
    </x:row>
    <x:row r="35" ht="54" customHeight="1">
      <x:c r="A35" s="64" t="str">
        <x:v>q031</x:v>
      </x:c>
      <x:c r="B35" s="60" t="str">
        <x:v>Fire safety and emergency evacuation</x:v>
      </x:c>
      <x:c r="C35" s="60" t="str">
        <x:v>What does an ABC-rated fire extinguisher indicate?</x:v>
      </x:c>
      <x:c r="D35" s="60" t="str">
        <x:v>It was manufactured for use only in commercial buildings</x:v>
      </x:c>
      <x:c r="E35" s="60" t="str">
        <x:v>It must be replaced within three years of the inspection</x:v>
      </x:c>
      <x:c r="F35" s="60" t="str">
        <x:v>It is effective against common household fire types</x:v>
      </x:c>
      <x:c r="G35" s="60" t="str">
        <x:v>It is approved only for outdoor cooking and pool areas</x:v>
      </x:c>
      <x:c r="H35" s="63" t="str">
        <x:v>C</x:v>
      </x:c>
      <x:c r="I35" s="65" t="str">
        <x:v>It is effective against common household fire types</x:v>
      </x:c>
    </x:row>
    <x:row r="36" ht="54" customHeight="1">
      <x:c r="A36" s="66" t="str">
        <x:v>q032</x:v>
      </x:c>
      <x:c r="B36" s="61" t="str">
        <x:v>Fire safety and emergency evacuation</x:v>
      </x:c>
      <x:c r="C36" s="61" t="str">
        <x:v>Which extinguisher condition requires remediation in the practice kitchen?</x:v>
      </x:c>
      <x:c r="D36" s="61" t="str">
        <x:v>The pressure gauge needle was outside the green area</x:v>
      </x:c>
      <x:c r="E36" s="61" t="str">
        <x:v>The pin and tamper seal were no longer intact</x:v>
      </x:c>
      <x:c r="F36" s="61" t="str">
        <x:v>The extinguisher had visible dents along its cylinder</x:v>
      </x:c>
      <x:c r="G36" s="61" t="str">
        <x:v>The extinguisher was not mounted at the required height</x:v>
      </x:c>
      <x:c r="H36" s="63" t="str">
        <x:v>D</x:v>
      </x:c>
      <x:c r="I36" s="65" t="str">
        <x:v>The extinguisher was not mounted at the required height</x:v>
      </x:c>
    </x:row>
    <x:row r="37" ht="54" customHeight="1">
      <x:c r="A37" s="64" t="str">
        <x:v>q033</x:v>
      </x:c>
      <x:c r="B37" s="60" t="str">
        <x:v>Fire safety and emergency evacuation</x:v>
      </x:c>
      <x:c r="C37" s="60" t="str">
        <x:v>About how high above the floor should a home fire extinguisher be mounted?</x:v>
      </x:c>
      <x:c r="D37" s="60" t="str">
        <x:v>Approximately five to six inches above the floor</x:v>
      </x:c>
      <x:c r="E37" s="60" t="str">
        <x:v>Approximately twelve to eighteen inches above the floor</x:v>
      </x:c>
      <x:c r="F37" s="60" t="str">
        <x:v>Approximately twenty-four to thirty inches above the floor</x:v>
      </x:c>
      <x:c r="G37" s="60" t="str">
        <x:v>Approximately forty-eight to sixty inches above the floor</x:v>
      </x:c>
      <x:c r="H37" s="63" t="str">
        <x:v>A</x:v>
      </x:c>
      <x:c r="I37" s="65" t="str">
        <x:v>Approximately five to six inches above the floor</x:v>
      </x:c>
    </x:row>
    <x:row r="38" ht="54" customHeight="1">
      <x:c r="A38" s="66" t="str">
        <x:v>q034</x:v>
      </x:c>
      <x:c r="B38" s="61" t="str">
        <x:v>Fire safety and emergency evacuation</x:v>
      </x:c>
      <x:c r="C38" s="61" t="str">
        <x:v>What evidence is required when an extinguisher is stored out of sight?</x:v>
      </x:c>
      <x:c r="D38" s="61" t="str">
        <x:v>A floor plan showing the extinguisher’s exact distance from an exit</x:v>
      </x:c>
      <x:c r="E38" s="61" t="str">
        <x:v>A sign marking its location, with the sign photographed</x:v>
      </x:c>
      <x:c r="F38" s="61" t="str">
        <x:v>A host statement confirming that guests receive verbal directions</x:v>
      </x:c>
      <x:c r="G38" s="61" t="str">
        <x:v>A cabinet inventory listing the extinguisher’s inspection history</x:v>
      </x:c>
      <x:c r="H38" s="63" t="str">
        <x:v>B</x:v>
      </x:c>
      <x:c r="I38" s="65" t="str">
        <x:v>A sign marking its location, with the sign photographed</x:v>
      </x:c>
    </x:row>
    <x:row r="39" ht="54" customHeight="1">
      <x:c r="A39" s="64" t="str">
        <x:v>q035</x:v>
      </x:c>
      <x:c r="B39" s="60" t="str">
        <x:v>Fire safety and emergency evacuation</x:v>
      </x:c>
      <x:c r="C39" s="60" t="str">
        <x:v>How should a battery-powered or hardwired alarm be verified?</x:v>
      </x:c>
      <x:c r="D39" s="60" t="str">
        <x:v>Use a certificate from any alarm company issued within five years</x:v>
      </x:c>
      <x:c r="E39" s="60" t="str">
        <x:v>Confirm the host has listed the alarm in the guest handbook</x:v>
      </x:c>
      <x:c r="F39" s="60" t="str">
        <x:v>Test it and upload a video under ten seconds capturing the sound</x:v>
      </x:c>
      <x:c r="G39" s="60" t="str">
        <x:v>Photograph the alarm without testing so the battery is preserved</x:v>
      </x:c>
      <x:c r="H39" s="63" t="str">
        <x:v>C</x:v>
      </x:c>
      <x:c r="I39" s="65" t="str">
        <x:v>Test it and upload a video under ten seconds capturing the sound</x:v>
      </x:c>
    </x:row>
    <x:row r="40" ht="54" customHeight="1">
      <x:c r="A40" s="66" t="str">
        <x:v>q036</x:v>
      </x:c>
      <x:c r="B40" s="61" t="str">
        <x:v>Fire safety and emergency evacuation</x:v>
      </x:c>
      <x:c r="C40" s="61" t="str">
        <x:v>What proof is acceptable for a monitored or local alarm system?</x:v>
      </x:c>
      <x:c r="D40" s="61" t="str">
        <x:v>A current certificate from the alarm company within the last year</x:v>
      </x:c>
      <x:c r="E40" s="61" t="str">
        <x:v>A photograph showing the alarm housing and manufacturer name</x:v>
      </x:c>
      <x:c r="F40" s="61" t="str">
        <x:v>A receipt showing when the host purchased replacement batteries</x:v>
      </x:c>
      <x:c r="G40" s="61" t="str">
        <x:v>A written statement from a guest who heard the alarm previously</x:v>
      </x:c>
      <x:c r="H40" s="63" t="str">
        <x:v>A</x:v>
      </x:c>
      <x:c r="I40" s="65" t="str">
        <x:v>A current certificate from the alarm company within the last year</x:v>
      </x:c>
    </x:row>
    <x:row r="41" ht="54" customHeight="1">
      <x:c r="A41" s="64" t="str">
        <x:v>q037</x:v>
      </x:c>
      <x:c r="B41" s="60" t="str">
        <x:v>Fire safety and emergency evacuation</x:v>
      </x:c>
      <x:c r="C41" s="60" t="str">
        <x:v>What additional check applies when a fire alarm is hardwired?</x:v>
      </x:c>
      <x:c r="D41" s="60" t="str">
        <x:v>Confirm that the alarm is mounted near an exterior doorway</x:v>
      </x:c>
      <x:c r="E41" s="60" t="str">
        <x:v>Confirm that the alarm includes a replaceable backup siren</x:v>
      </x:c>
      <x:c r="F41" s="60" t="str">
        <x:v>Confirm that the host has supplied a portable testing ladder</x:v>
      </x:c>
      <x:c r="G41" s="60" t="str">
        <x:v>Confirm that the hardwired alarm is currently receiving power</x:v>
      </x:c>
      <x:c r="H41" s="63" t="str">
        <x:v>D</x:v>
      </x:c>
      <x:c r="I41" s="65" t="str">
        <x:v>Confirm that the hardwired alarm is currently receiving power</x:v>
      </x:c>
    </x:row>
    <x:row r="42" ht="54" customHeight="1">
      <x:c r="A42" s="66" t="str">
        <x:v>q038</x:v>
      </x:c>
      <x:c r="B42" s="61" t="str">
        <x:v>Fire safety and emergency evacuation</x:v>
      </x:c>
      <x:c r="C42" s="61" t="str">
        <x:v>When is an upper-floor bedroom escape ladder marked not applicable?</x:v>
      </x:c>
      <x:c r="D42" s="61" t="str">
        <x:v>When the room has a charged flashlight near the bed</x:v>
      </x:c>
      <x:c r="E42" s="61" t="str">
        <x:v>For a ground-floor room or a bedroom in an apartment building</x:v>
      </x:c>
      <x:c r="F42" s="61" t="str">
        <x:v>When the room has two operational doors along the exit path</x:v>
      </x:c>
      <x:c r="G42" s="61" t="str">
        <x:v>For a bedroom with a hardwired smoke and carbon monoxide alarm</x:v>
      </x:c>
      <x:c r="H42" s="63" t="str">
        <x:v>B</x:v>
      </x:c>
      <x:c r="I42" s="65" t="str">
        <x:v>For a ground-floor room or a bedroom in an apartment building</x:v>
      </x:c>
    </x:row>
    <x:row r="43" ht="54" customHeight="1">
      <x:c r="A43" s="64" t="str">
        <x:v>q039</x:v>
      </x:c>
      <x:c r="B43" s="60" t="str">
        <x:v>Fire safety and emergency evacuation</x:v>
      </x:c>
      <x:c r="C43" s="60" t="str">
        <x:v>What should an inspector confirm about doors on an emergency exit path?</x:v>
      </x:c>
      <x:c r="D43" s="60" t="str">
        <x:v>They match the color and materials used in the hallway</x:v>
      </x:c>
      <x:c r="E43" s="60" t="str">
        <x:v>They remain locked unless the host is present at the property</x:v>
      </x:c>
      <x:c r="F43" s="60" t="str">
        <x:v>They unlock from inside and have usable, stable hardware</x:v>
      </x:c>
      <x:c r="G43" s="60" t="str">
        <x:v>They open toward the nearest room rather than toward the exit</x:v>
      </x:c>
      <x:c r="H43" s="63" t="str">
        <x:v>C</x:v>
      </x:c>
      <x:c r="I43" s="65" t="str">
        <x:v>They unlock from inside and have usable, stable hardware</x:v>
      </x:c>
    </x:row>
    <x:row r="44" ht="54" customHeight="1">
      <x:c r="A44" s="66" t="str">
        <x:v>q040</x:v>
      </x:c>
      <x:c r="B44" s="61" t="str">
        <x:v>Fire safety and emergency evacuation</x:v>
      </x:c>
      <x:c r="C44" s="61" t="str">
        <x:v>Which signage examples address open-flame safety?</x:v>
      </x:c>
      <x:c r="D44" s="61" t="str">
        <x:v>No smoking, no candles, and no open fires</x:v>
      </x:c>
      <x:c r="E44" s="61" t="str">
        <x:v>No parking, no deliveries, and no unattended vehicles</x:v>
      </x:c>
      <x:c r="F44" s="61" t="str">
        <x:v>No pets, no food, and no outdoor footwear</x:v>
      </x:c>
      <x:c r="G44" s="61" t="str">
        <x:v>No visitors, no late arrivals, and no early departures</x:v>
      </x:c>
      <x:c r="H44" s="63" t="str">
        <x:v>A</x:v>
      </x:c>
      <x:c r="I44" s="65" t="str">
        <x:v>No smoking, no candles, and no open fires</x:v>
      </x:c>
    </x:row>
    <x:row r="45" ht="54" customHeight="1">
      <x:c r="A45" s="64" t="str">
        <x:v>q041</x:v>
      </x:c>
      <x:c r="B45" s="60" t="str">
        <x:v>Electrical, utilities, detectors, and hazards</x:v>
      </x:c>
      <x:c r="C45" s="60" t="str">
        <x:v>Which wiring condition meets the GuestGuard visual standard?</x:v>
      </x:c>
      <x:c r="D45" s="60" t="str">
        <x:v>Extension cords connected together when outlets are unavailable</x:v>
      </x:c>
      <x:c r="E45" s="60" t="str">
        <x:v>Power strips used only when they include surge protection</x:v>
      </x:c>
      <x:c r="F45" s="60" t="str">
        <x:v>Exposed wiring permitted when it is above guest reach</x:v>
      </x:c>
      <x:c r="G45" s="60" t="str">
        <x:v>Multiple high-load appliances connected to one basic adapter</x:v>
      </x:c>
      <x:c r="H45" s="63" t="str">
        <x:v>B</x:v>
      </x:c>
      <x:c r="I45" s="65" t="str">
        <x:v>Power strips used only when they include surge protection</x:v>
      </x:c>
    </x:row>
    <x:row r="46" ht="54" customHeight="1">
      <x:c r="A46" s="66" t="str">
        <x:v>q042</x:v>
      </x:c>
      <x:c r="B46" s="61" t="str">
        <x:v>Electrical, utilities, detectors, and hazards</x:v>
      </x:c>
      <x:c r="C46" s="61" t="str">
        <x:v>Where are GFCI outlets or breakers especially important?</x:v>
      </x:c>
      <x:c r="D46" s="61" t="str">
        <x:v>In bedrooms and common rooms where televisions are located</x:v>
      </x:c>
      <x:c r="E46" s="61" t="str">
        <x:v>In hallways and closets where lighting remains switched on</x:v>
      </x:c>
      <x:c r="F46" s="61" t="str">
        <x:v>In kitchens, bathrooms, and other wet areas</x:v>
      </x:c>
      <x:c r="G46" s="61" t="str">
        <x:v>In exterior parking spaces without overhead lighting</x:v>
      </x:c>
      <x:c r="H46" s="63" t="str">
        <x:v>C</x:v>
      </x:c>
      <x:c r="I46" s="65" t="str">
        <x:v>In kitchens, bathrooms, and other wet areas</x:v>
      </x:c>
    </x:row>
    <x:row r="47" ht="54" customHeight="1">
      <x:c r="A47" s="64" t="str">
        <x:v>q043</x:v>
      </x:c>
      <x:c r="B47" s="60" t="str">
        <x:v>Electrical, utilities, detectors, and hazards</x:v>
      </x:c>
      <x:c r="C47" s="60" t="str">
        <x:v>What should the basement breaker-box inspection confirm?</x:v>
      </x:c>
      <x:c r="D47" s="60" t="str">
        <x:v>The box is labeled, accessible, covered, and visually safe</x:v>
      </x:c>
      <x:c r="E47" s="60" t="str">
        <x:v>The box has been replaced within the previous calendar year</x:v>
      </x:c>
      <x:c r="F47" s="60" t="str">
        <x:v>The box is hidden from guests behind a permanently locked door</x:v>
      </x:c>
      <x:c r="G47" s="60" t="str">
        <x:v>The box includes a separate circuit for every room and appliance</x:v>
      </x:c>
      <x:c r="H47" s="63" t="str">
        <x:v>A</x:v>
      </x:c>
      <x:c r="I47" s="65" t="str">
        <x:v>The box is labeled, accessible, covered, and visually safe</x:v>
      </x:c>
    </x:row>
    <x:row r="48" ht="54" customHeight="1">
      <x:c r="A48" s="66" t="str">
        <x:v>q044</x:v>
      </x:c>
      <x:c r="B48" s="61" t="str">
        <x:v>Electrical, utilities, detectors, and hazards</x:v>
      </x:c>
      <x:c r="C48" s="61" t="str">
        <x:v>How should the flammable-material item be answered when none is present?</x:v>
      </x:c>
      <x:c r="D48" s="61" t="str">
        <x:v>Mark the item yes because the room is free of flammable materials</x:v>
      </x:c>
      <x:c r="E48" s="61" t="str">
        <x:v>Leave the item unanswered and explain the condition in final notes</x:v>
      </x:c>
      <x:c r="F48" s="61" t="str">
        <x:v>Mark the item no because no storage system can be evaluated</x:v>
      </x:c>
      <x:c r="G48" s="61" t="str">
        <x:v>Mark the item not applicable because there is nothing to inspect</x:v>
      </x:c>
      <x:c r="H48" s="63" t="str">
        <x:v>D</x:v>
      </x:c>
      <x:c r="I48" s="65" t="str">
        <x:v>Mark the item not applicable because there is nothing to inspect</x:v>
      </x:c>
    </x:row>
    <x:row r="49" ht="54" customHeight="1">
      <x:c r="A49" s="64" t="str">
        <x:v>q045</x:v>
      </x:c>
      <x:c r="B49" s="60" t="str">
        <x:v>Electrical, utilities, detectors, and hazards</x:v>
      </x:c>
      <x:c r="C49" s="60" t="str">
        <x:v>What is the purpose of a water-leak or freeze detector?</x:v>
      </x:c>
      <x:c r="D49" s="60" t="str">
        <x:v>It alerts the owner to a burst or frozen pipe condition</x:v>
      </x:c>
      <x:c r="E49" s="60" t="str">
        <x:v>It measures background noise near the property’s utilities</x:v>
      </x:c>
      <x:c r="F49" s="60" t="str">
        <x:v>It verifies that wet-area outlets include surge protection</x:v>
      </x:c>
      <x:c r="G49" s="60" t="str">
        <x:v>It records the operating temperature of the heating system</x:v>
      </x:c>
      <x:c r="H49" s="63" t="str">
        <x:v>A</x:v>
      </x:c>
      <x:c r="I49" s="65" t="str">
        <x:v>It alerts the owner to a burst or frozen pipe condition</x:v>
      </x:c>
    </x:row>
    <x:row r="50" ht="54" customHeight="1">
      <x:c r="A50" s="66" t="str">
        <x:v>q046</x:v>
      </x:c>
      <x:c r="B50" s="61" t="str">
        <x:v>Electrical, utilities, detectors, and hazards</x:v>
      </x:c>
      <x:c r="C50" s="61" t="str">
        <x:v>Which devices belong in the “other hazard detectors” assessment?</x:v>
      </x:c>
      <x:c r="D50" s="61" t="str">
        <x:v>Door sensors, window locks, and exterior motion lights</x:v>
      </x:c>
      <x:c r="E50" s="61" t="str">
        <x:v>CO, heat, and hazardous-gas detectors</x:v>
      </x:c>
      <x:c r="F50" s="61" t="str">
        <x:v>Thermostats, water meters, and appliance timers</x:v>
      </x:c>
      <x:c r="G50" s="61" t="str">
        <x:v>Cameras, microphones, and monitored entry systems</x:v>
      </x:c>
      <x:c r="H50" s="63" t="str">
        <x:v>B</x:v>
      </x:c>
      <x:c r="I50" s="65" t="str">
        <x:v>CO, heat, and hazardous-gas detectors</x:v>
      </x:c>
    </x:row>
    <x:row r="51" ht="54" customHeight="1">
      <x:c r="A51" s="64" t="str">
        <x:v>q047</x:v>
      </x:c>
      <x:c r="B51" s="60" t="str">
        <x:v>Electrical, utilities, detectors, and hazards</x:v>
      </x:c>
      <x:c r="C51" s="60" t="str">
        <x:v>Why are incandescent bulbs discouraged by GuestGuard?</x:v>
      </x:c>
      <x:c r="D51" s="60" t="str">
        <x:v>They make it difficult to photograph appliance model numbers</x:v>
      </x:c>
      <x:c r="E51" s="60" t="str">
        <x:v>They interfere with hardwired carbon monoxide alarm systems</x:v>
      </x:c>
      <x:c r="F51" s="60" t="str">
        <x:v>They can heat up and create a fire risk in enclosed spaces</x:v>
      </x:c>
      <x:c r="G51" s="60" t="str">
        <x:v>They prevent GFCI testers from identifying unprotected outlets</x:v>
      </x:c>
      <x:c r="H51" s="63" t="str">
        <x:v>C</x:v>
      </x:c>
      <x:c r="I51" s="65" t="str">
        <x:v>They can heat up and create a fire risk in enclosed spaces</x:v>
      </x:c>
    </x:row>
    <x:row r="52" ht="54" customHeight="1">
      <x:c r="A52" s="66" t="str">
        <x:v>q048</x:v>
      </x:c>
      <x:c r="B52" s="61" t="str">
        <x:v>Electrical, utilities, detectors, and hazards</x:v>
      </x:c>
      <x:c r="C52" s="61" t="str">
        <x:v>Where should an inspector look for mold in a kitchen?</x:v>
      </x:c>
      <x:c r="D52" s="61" t="str">
        <x:v>Only on visible wall surfaces above the countertop</x:v>
      </x:c>
      <x:c r="E52" s="61" t="str">
        <x:v>Only inside the refrigerator and freezer compartments</x:v>
      </x:c>
      <x:c r="F52" s="61" t="str">
        <x:v>Only around windows located next to the cooking area</x:v>
      </x:c>
      <x:c r="G52" s="61" t="str">
        <x:v>Near sinks, piping, appliances, and other moisture sources</x:v>
      </x:c>
      <x:c r="H52" s="63" t="str">
        <x:v>D</x:v>
      </x:c>
      <x:c r="I52" s="65" t="str">
        <x:v>Near sinks, piping, appliances, and other moisture sources</x:v>
      </x:c>
    </x:row>
    <x:row r="53" ht="54" customHeight="1">
      <x:c r="A53" s="64" t="str">
        <x:v>q049</x:v>
      </x:c>
      <x:c r="B53" s="60" t="str">
        <x:v>Electrical, utilities, detectors, and hazards</x:v>
      </x:c>
      <x:c r="C53" s="60" t="str">
        <x:v>How should pest evidence be evaluated during the inspection?</x:v>
      </x:c>
      <x:c r="D53" s="60" t="str">
        <x:v>Use professional judgment in areas that guests can access</x:v>
      </x:c>
      <x:c r="E53" s="60" t="str">
        <x:v>Move fixed cabinets and walls to inspect every concealed cavity</x:v>
      </x:c>
      <x:c r="F53" s="60" t="str">
        <x:v>Accept the host’s pest-control statement without looking for signs</x:v>
      </x:c>
      <x:c r="G53" s="60" t="str">
        <x:v>Limit the check to exterior spaces where animals may enter</x:v>
      </x:c>
      <x:c r="H53" s="63" t="str">
        <x:v>A</x:v>
      </x:c>
      <x:c r="I53" s="65" t="str">
        <x:v>Use professional judgment in areas that guests can access</x:v>
      </x:c>
    </x:row>
    <x:row r="54" ht="54" customHeight="1">
      <x:c r="A54" s="66" t="str">
        <x:v>q050</x:v>
      </x:c>
      <x:c r="B54" s="61" t="str">
        <x:v>Electrical, utilities, detectors, and hazards</x:v>
      </x:c>
      <x:c r="C54" s="61" t="str">
        <x:v>What should happen when mold or moisture-related growth is found?</x:v>
      </x:c>
      <x:c r="D54" s="61" t="str">
        <x:v>Clean the affected surface before continuing the inspection</x:v>
      </x:c>
      <x:c r="E54" s="61" t="str">
        <x:v>Photograph and document it for GuestGuard and the host</x:v>
      </x:c>
      <x:c r="F54" s="61" t="str">
        <x:v>Mark the entire room inaccessible without recording the location</x:v>
      </x:c>
      <x:c r="G54" s="61" t="str">
        <x:v>Contact the next guest and advise them to cancel the reservation</x:v>
      </x:c>
      <x:c r="H54" s="63" t="str">
        <x:v>B</x:v>
      </x:c>
      <x:c r="I54" s="65" t="str">
        <x:v>Photograph and document it for GuestGuard and the host</x:v>
      </x:c>
    </x:row>
    <x:row r="55" ht="54" customHeight="1">
      <x:c r="A55" s="64" t="str">
        <x:v>q051</x:v>
      </x:c>
      <x:c r="B55" s="60" t="str">
        <x:v>Accessibility measurements and judgment</x:v>
      </x:c>
      <x:c r="C55" s="60" t="str">
        <x:v>When is the detailed accessibility assessment required?</x:v>
      </x:c>
      <x:c r="D55" s="60" t="str">
        <x:v>For every property with more than one guest-accessible room</x:v>
      </x:c>
      <x:c r="E55" s="60" t="str">
        <x:v>Whenever the inspector observes a mobility device during the visit</x:v>
      </x:c>
      <x:c r="F55" s="60" t="str">
        <x:v>For properties identified in advance as accessibility-friendly</x:v>
      </x:c>
      <x:c r="G55" s="60" t="str">
        <x:v>Only after the standard inspection has produced a passing result</x:v>
      </x:c>
      <x:c r="H55" s="63" t="str">
        <x:v>C</x:v>
      </x:c>
      <x:c r="I55" s="65" t="str">
        <x:v>For properties identified in advance as accessibility-friendly</x:v>
      </x:c>
    </x:row>
    <x:row r="56" ht="54" customHeight="1">
      <x:c r="A56" s="66" t="str">
        <x:v>q052</x:v>
      </x:c>
      <x:c r="B56" s="61" t="str">
        <x:v>Accessibility measurements and judgment</x:v>
      </x:c>
      <x:c r="C56" s="61" t="str">
        <x:v>How is bathroom doorway width measured?</x:v>
      </x:c>
      <x:c r="D56" s="61" t="str">
        <x:v>From the inside of the frame while the door is open</x:v>
      </x:c>
      <x:c r="E56" s="61" t="str">
        <x:v>From the outside edges of the trim while the door is closed</x:v>
      </x:c>
      <x:c r="F56" s="61" t="str">
        <x:v>From the handle to the opposite wall while the door is open</x:v>
      </x:c>
      <x:c r="G56" s="61" t="str">
        <x:v>From the hinge to the latch plate while the door is closed</x:v>
      </x:c>
      <x:c r="H56" s="63" t="str">
        <x:v>A</x:v>
      </x:c>
      <x:c r="I56" s="65" t="str">
        <x:v>From the inside of the frame while the door is open</x:v>
      </x:c>
    </x:row>
    <x:row r="57" ht="54" customHeight="1">
      <x:c r="A57" s="64" t="str">
        <x:v>q053</x:v>
      </x:c>
      <x:c r="B57" s="60" t="str">
        <x:v>Accessibility measurements and judgment</x:v>
      </x:c>
      <x:c r="C57" s="60" t="str">
        <x:v>What should be assessed when a bathroom approach is not straight?</x:v>
      </x:c>
      <x:c r="D57" s="60" t="str">
        <x:v>Whether the hallway includes emergency exit signage</x:v>
      </x:c>
      <x:c r="E57" s="60" t="str">
        <x:v>Whether a wheelchair has enough room to turn around</x:v>
      </x:c>
      <x:c r="F57" s="60" t="str">
        <x:v>Whether the sink has adequate running water pressure</x:v>
      </x:c>
      <x:c r="G57" s="60" t="str">
        <x:v>Whether a portable handrail is stored beside the doorway</x:v>
      </x:c>
      <x:c r="H57" s="63" t="str">
        <x:v>B</x:v>
      </x:c>
      <x:c r="I57" s="65" t="str">
        <x:v>Whether a wheelchair has enough room to turn around</x:v>
      </x:c>
    </x:row>
    <x:row r="58" ht="54" customHeight="1">
      <x:c r="A58" s="66" t="str">
        <x:v>q054</x:v>
      </x:c>
      <x:c r="B58" s="61" t="str">
        <x:v>Accessibility measurements and judgment</x:v>
      </x:c>
      <x:c r="C58" s="61" t="str">
        <x:v>What defines a roll-in shower for the rubric?</x:v>
      </x:c>
      <x:c r="D58" s="61" t="str">
        <x:v>A shower with a fixed chair and a standard raised curb</x:v>
      </x:c>
      <x:c r="E58" s="61" t="str">
        <x:v>A shower with a handheld head and two permanent handrails</x:v>
      </x:c>
      <x:c r="F58" s="61" t="str">
        <x:v>A shower large enough for standing assistance from another person</x:v>
      </x:c>
      <x:c r="G58" s="61" t="str">
        <x:v>A shower entered by wheelchair with no lip or a ramped rounded lip</x:v>
      </x:c>
      <x:c r="H58" s="63" t="str">
        <x:v>D</x:v>
      </x:c>
      <x:c r="I58" s="65" t="str">
        <x:v>A shower entered by wheelchair with no lip or a ramped rounded lip</x:v>
      </x:c>
    </x:row>
    <x:row r="59" ht="54" customHeight="1">
      <x:c r="A59" s="64" t="str">
        <x:v>q055</x:v>
      </x:c>
      <x:c r="B59" s="60" t="str">
        <x:v>Accessibility measurements and judgment</x:v>
      </x:c>
      <x:c r="C59" s="60" t="str">
        <x:v>What is recorded when a shower is not roll-in accessible?</x:v>
      </x:c>
      <x:c r="D59" s="60" t="str">
        <x:v>The shower threshold height and the shower square footage</x:v>
      </x:c>
      <x:c r="E59" s="60" t="str">
        <x:v>The distance from the shower head to the bathroom doorway</x:v>
      </x:c>
      <x:c r="F59" s="60" t="str">
        <x:v>The combined height of the shower chair and toilet seat</x:v>
      </x:c>
      <x:c r="G59" s="60" t="str">
        <x:v>The width of the bathroom hallway and the sink countertop</x:v>
      </x:c>
      <x:c r="H59" s="63" t="str">
        <x:v>A</x:v>
      </x:c>
      <x:c r="I59" s="65" t="str">
        <x:v>The shower threshold height and the shower square footage</x:v>
      </x:c>
    </x:row>
    <x:row r="60" ht="54" customHeight="1">
      <x:c r="A60" s="66" t="str">
        <x:v>q056</x:v>
      </x:c>
      <x:c r="B60" s="61" t="str">
        <x:v>Accessibility measurements and judgment</x:v>
      </x:c>
      <x:c r="C60" s="61" t="str">
        <x:v>Why are four toilet-clearance measurements collected?</x:v>
      </x:c>
      <x:c r="D60" s="61" t="str">
        <x:v>To determine whether the toilet can support a portable handrail</x:v>
      </x:c>
      <x:c r="E60" s="61" t="str">
        <x:v>To determine whether a wheelchair user can transfer safely</x:v>
      </x:c>
      <x:c r="F60" s="61" t="str">
        <x:v>To calculate the total square footage of the bathroom</x:v>
      </x:c>
      <x:c r="G60" s="61" t="str">
        <x:v>To confirm the toilet is centered under the ventilation system</x:v>
      </x:c>
      <x:c r="H60" s="63" t="str">
        <x:v>B</x:v>
      </x:c>
      <x:c r="I60" s="65" t="str">
        <x:v>To determine whether a wheelchair user can transfer safely</x:v>
      </x:c>
    </x:row>
    <x:row r="61" ht="54" customHeight="1">
      <x:c r="A61" s="64" t="str">
        <x:v>q057</x:v>
      </x:c>
      <x:c r="B61" s="60" t="str">
        <x:v>Accessibility measurements and judgment</x:v>
      </x:c>
      <x:c r="C61" s="60" t="str">
        <x:v>What should happen if a bedroom bed is under 24 inches high?</x:v>
      </x:c>
      <x:c r="D61" s="60" t="str">
        <x:v>Mark the bedroom unusable without gathering more information</x:v>
      </x:c>
      <x:c r="E61" s="60" t="str">
        <x:v>Require the host to replace the bed before the report is submitted</x:v>
      </x:c>
      <x:c r="F61" s="60" t="str">
        <x:v>Ask whether bed raisers are available for the property</x:v>
      </x:c>
      <x:c r="G61" s="60" t="str">
        <x:v>Measure only the mattress because floor clearance no longer applies</x:v>
      </x:c>
      <x:c r="H61" s="63" t="str">
        <x:v>C</x:v>
      </x:c>
      <x:c r="I61" s="65" t="str">
        <x:v>Ask whether bed raisers are available for the property</x:v>
      </x:c>
    </x:row>
    <x:row r="62" ht="54" customHeight="1">
      <x:c r="A62" s="66" t="str">
        <x:v>q058</x:v>
      </x:c>
      <x:c r="B62" s="61" t="str">
        <x:v>Accessibility measurements and judgment</x:v>
      </x:c>
      <x:c r="C62" s="61" t="str">
        <x:v>What bedroom clearances should be measured around the bed?</x:v>
      </x:c>
      <x:c r="D62" s="61" t="str">
        <x:v>The distance from each side to the nearest unmovable obstruction</x:v>
      </x:c>
      <x:c r="E62" s="61" t="str">
        <x:v>The distance from the headboard to every electrical outlet</x:v>
      </x:c>
      <x:c r="F62" s="61" t="str">
        <x:v>The distance from the mattress top to the nearest window</x:v>
      </x:c>
      <x:c r="G62" s="61" t="str">
        <x:v>The distance from the bedroom door to the television screen</x:v>
      </x:c>
      <x:c r="H62" s="63" t="str">
        <x:v>A</x:v>
      </x:c>
      <x:c r="I62" s="65" t="str">
        <x:v>The distance from each side to the nearest unmovable obstruction</x:v>
      </x:c>
    </x:row>
    <x:row r="63" ht="54" customHeight="1">
      <x:c r="A63" s="64" t="str">
        <x:v>q059</x:v>
      </x:c>
      <x:c r="B63" s="60" t="str">
        <x:v>Accessibility measurements and judgment</x:v>
      </x:c>
      <x:c r="C63" s="60" t="str">
        <x:v>What common-room feature should be checked for wheelchair dining access?</x:v>
      </x:c>
      <x:c r="D63" s="60" t="str">
        <x:v>The distance between the table and the nearest exterior exit</x:v>
      </x:c>
      <x:c r="E63" s="60" t="str">
        <x:v>The number of chairs that can be removed without host assistance</x:v>
      </x:c>
      <x:c r="F63" s="60" t="str">
        <x:v>The width of the room measured between two opposite walls</x:v>
      </x:c>
      <x:c r="G63" s="60" t="str">
        <x:v>The table underside height and any bars blocking knee clearance</x:v>
      </x:c>
      <x:c r="H63" s="63" t="str">
        <x:v>D</x:v>
      </x:c>
      <x:c r="I63" s="65" t="str">
        <x:v>The table underside height and any bars blocking knee clearance</x:v>
      </x:c>
    </x:row>
    <x:row r="64" ht="54" customHeight="1">
      <x:c r="A64" s="66" t="str">
        <x:v>q060</x:v>
      </x:c>
      <x:c r="B64" s="61" t="str">
        <x:v>Accessibility measurements and judgment</x:v>
      </x:c>
      <x:c r="C64" s="61" t="str">
        <x:v>What should an inspector do when a room is not usable by a wheelchair user?</x:v>
      </x:c>
      <x:c r="D64" s="61" t="str">
        <x:v>Select not applicable and omit any explanation from the report</x:v>
      </x:c>
      <x:c r="E64" s="61" t="str">
        <x:v>Describe the barriers because the note will be visible to guests</x:v>
      </x:c>
      <x:c r="F64" s="61" t="str">
        <x:v>Recommend a specific contractor before completing the inspection</x:v>
      </x:c>
      <x:c r="G64" s="61" t="str">
        <x:v>Estimate the cost of modifying the room for wheelchair access</x:v>
      </x:c>
      <x:c r="H64" s="63" t="str">
        <x:v>B</x:v>
      </x:c>
      <x:c r="I64" s="65" t="str">
        <x:v>Describe the barriers because the note will be visible to guests</x:v>
      </x:c>
    </x:row>
    <x:row r="65" ht="54" customHeight="1">
      <x:c r="A65" s="64" t="str">
        <x:v>q061</x:v>
      </x:c>
      <x:c r="B65" s="60" t="str">
        <x:v>Kitchen and appliances</x:v>
      </x:c>
      <x:c r="C65" s="60" t="str">
        <x:v>Why are kitchen fire-safety checks more extensive?</x:v>
      </x:c>
      <x:c r="D65" s="60" t="str">
        <x:v>The kitchen has the highest household fire risk</x:v>
      </x:c>
      <x:c r="E65" s="60" t="str">
        <x:v>The kitchen usually contains the property’s exit signage</x:v>
      </x:c>
      <x:c r="F65" s="60" t="str">
        <x:v>The kitchen is where the host stores the guest handbook</x:v>
      </x:c>
      <x:c r="G65" s="60" t="str">
        <x:v>The kitchen is always included in the accessibility assessment</x:v>
      </x:c>
      <x:c r="H65" s="63" t="str">
        <x:v>A</x:v>
      </x:c>
      <x:c r="I65" s="65" t="str">
        <x:v>The kitchen has the highest household fire risk</x:v>
      </x:c>
    </x:row>
    <x:row r="66" ht="54" customHeight="1">
      <x:c r="A66" s="66" t="str">
        <x:v>q062</x:v>
      </x:c>
      <x:c r="B66" s="61" t="str">
        <x:v>Kitchen and appliances</x:v>
      </x:c>
      <x:c r="C66" s="61" t="str">
        <x:v>How should a dishwasher be checked during the practical inspection?</x:v>
      </x:c>
      <x:c r="D66" s="61" t="str">
        <x:v>Inspect the exterior only and record the manufacturer name</x:v>
      </x:c>
      <x:c r="E66" s="61" t="str">
        <x:v>Run a full cycle while continuing with the inspection</x:v>
      </x:c>
      <x:c r="F66" s="61" t="str">
        <x:v>Ask the host to provide a receipt from the last service visit</x:v>
      </x:c>
      <x:c r="G66" s="61" t="str">
        <x:v>Fill it with dishes to confirm the advertised capacity</x:v>
      </x:c>
      <x:c r="H66" s="63" t="str">
        <x:v>B</x:v>
      </x:c>
      <x:c r="I66" s="65" t="str">
        <x:v>Run a full cycle while continuing with the inspection</x:v>
      </x:c>
    </x:row>
    <x:row r="67" ht="54" customHeight="1">
      <x:c r="A67" s="64" t="str">
        <x:v>q063</x:v>
      </x:c>
      <x:c r="B67" s="60" t="str">
        <x:v>Kitchen and appliances</x:v>
      </x:c>
      <x:c r="C67" s="60" t="str">
        <x:v>What should the sink and disposal assessment include?</x:v>
      </x:c>
      <x:c r="D67" s="60" t="str">
        <x:v>Cabinet dimensions, pipe materials, and installation dates</x:v>
      </x:c>
      <x:c r="E67" s="60" t="str">
        <x:v>Drain speed, faucet brand, and the host’s cleaning schedule</x:v>
      </x:c>
      <x:c r="F67" s="60" t="str">
        <x:v>Cleanliness, operation, water pressure, and visible leaks</x:v>
      </x:c>
      <x:c r="G67" s="60" t="str">
        <x:v>Water hardness, filter age, and the disposal’s electrical rating</x:v>
      </x:c>
      <x:c r="H67" s="63" t="str">
        <x:v>C</x:v>
      </x:c>
      <x:c r="I67" s="65" t="str">
        <x:v>Cleanliness, operation, water pressure, and visible leaks</x:v>
      </x:c>
    </x:row>
    <x:row r="68" ht="54" customHeight="1">
      <x:c r="A68" s="66" t="str">
        <x:v>q064</x:v>
      </x:c>
      <x:c r="B68" s="61" t="str">
        <x:v>Kitchen and appliances</x:v>
      </x:c>
      <x:c r="C68" s="61" t="str">
        <x:v>How should kitchen GFCI protection be verified?</x:v>
      </x:c>
      <x:c r="D68" s="61" t="str">
        <x:v>Assume protection is present when the outlet has a reset button</x:v>
      </x:c>
      <x:c r="E68" s="61" t="str">
        <x:v>Test one representative outlet and apply the result to the room</x:v>
      </x:c>
      <x:c r="F68" s="61" t="str">
        <x:v>Ask the host whether the breakers were installed by an electrician</x:v>
      </x:c>
      <x:c r="G68" s="61" t="str">
        <x:v>Use a tester on every relevant outlet in the wet area</x:v>
      </x:c>
      <x:c r="H68" s="63" t="str">
        <x:v>D</x:v>
      </x:c>
      <x:c r="I68" s="65" t="str">
        <x:v>Use a tester on every relevant outlet in the wet area</x:v>
      </x:c>
    </x:row>
    <x:row r="69" ht="54" customHeight="1">
      <x:c r="A69" s="64" t="str">
        <x:v>q065</x:v>
      </x:c>
      <x:c r="B69" s="60" t="str">
        <x:v>Kitchen and appliances</x:v>
      </x:c>
      <x:c r="C69" s="60" t="str">
        <x:v>What should be recorded for a safe, clean, usable appliance?</x:v>
      </x:c>
      <x:c r="D69" s="60" t="str">
        <x:v>A photograph and the make and model when identifiable</x:v>
      </x:c>
      <x:c r="E69" s="60" t="str">
        <x:v>A replacement cost and the date the appliance was purchased</x:v>
      </x:c>
      <x:c r="F69" s="60" t="str">
        <x:v>A copy of the warranty and the host’s maintenance schedule</x:v>
      </x:c>
      <x:c r="G69" s="60" t="str">
        <x:v>A video of the full operating cycle and the energy rating</x:v>
      </x:c>
      <x:c r="H69" s="63" t="str">
        <x:v>A</x:v>
      </x:c>
      <x:c r="I69" s="65" t="str">
        <x:v>A photograph and the make and model when identifiable</x:v>
      </x:c>
    </x:row>
    <x:row r="70" ht="54" customHeight="1">
      <x:c r="A70" s="66" t="str">
        <x:v>q066</x:v>
      </x:c>
      <x:c r="B70" s="61" t="str">
        <x:v>Kitchen and appliances</x:v>
      </x:c>
      <x:c r="C70" s="61" t="str">
        <x:v>What is the priority if an appliance make or model cannot be identified?</x:v>
      </x:c>
      <x:c r="D70" s="61" t="str">
        <x:v>Fail the appliance because the required record is incomplete</x:v>
      </x:c>
      <x:c r="E70" s="61" t="str">
        <x:v>Focus on whether the appliance is safe, clean, and usable</x:v>
      </x:c>
      <x:c r="F70" s="61" t="str">
        <x:v>Remove the appliance from the guest-facing property listing</x:v>
      </x:c>
      <x:c r="G70" s="61" t="str">
        <x:v>Require the host to submit the information before inspection ends</x:v>
      </x:c>
      <x:c r="H70" s="63" t="str">
        <x:v>B</x:v>
      </x:c>
      <x:c r="I70" s="65" t="str">
        <x:v>Focus on whether the appliance is safe, clean, and usable</x:v>
      </x:c>
    </x:row>
    <x:row r="71" ht="54" customHeight="1">
      <x:c r="A71" s="64" t="str">
        <x:v>q067</x:v>
      </x:c>
      <x:c r="B71" s="60" t="str">
        <x:v>Kitchen and appliances</x:v>
      </x:c>
      <x:c r="C71" s="60" t="str">
        <x:v>How was the microwave tested during the practice walkthrough?</x:v>
      </x:c>
      <x:c r="D71" s="60" t="str">
        <x:v>By running a short cycle and checking operation and ventilation</x:v>
      </x:c>
      <x:c r="E71" s="60" t="str">
        <x:v>By heating it to maximum temperature for several minutes</x:v>
      </x:c>
      <x:c r="F71" s="60" t="str">
        <x:v>By inspecting the cord without operating the microwave</x:v>
      </x:c>
      <x:c r="G71" s="60" t="str">
        <x:v>By asking the host to demonstrate every programmed setting</x:v>
      </x:c>
      <x:c r="H71" s="63" t="str">
        <x:v>A</x:v>
      </x:c>
      <x:c r="I71" s="65" t="str">
        <x:v>By running a short cycle and checking operation and ventilation</x:v>
      </x:c>
    </x:row>
    <x:row r="72" ht="54" customHeight="1">
      <x:c r="A72" s="66" t="str">
        <x:v>q068</x:v>
      </x:c>
      <x:c r="B72" s="61" t="str">
        <x:v>Kitchen and appliances</x:v>
      </x:c>
      <x:c r="C72" s="61" t="str">
        <x:v>What should be checked while the kitchen sink is running?</x:v>
      </x:c>
      <x:c r="D72" s="61" t="str">
        <x:v>Whether the cabinet doors remain fully open without obstruction</x:v>
      </x:c>
      <x:c r="E72" s="61" t="str">
        <x:v>Whether the water temperature matches the refrigerator setting</x:v>
      </x:c>
      <x:c r="F72" s="61" t="str">
        <x:v>Whether plumbing below the sink shows leakage or broken pipes</x:v>
      </x:c>
      <x:c r="G72" s="61" t="str">
        <x:v>Whether the disposal manufacturer matches the faucet manufacturer</x:v>
      </x:c>
      <x:c r="H72" s="63" t="str">
        <x:v>C</x:v>
      </x:c>
      <x:c r="I72" s="65" t="str">
        <x:v>Whether plumbing below the sink shows leakage or broken pipes</x:v>
      </x:c>
    </x:row>
    <x:row r="73" ht="54" customHeight="1">
      <x:c r="A73" s="64" t="str">
        <x:v>q069</x:v>
      </x:c>
      <x:c r="B73" s="60" t="str">
        <x:v>Kitchen and appliances</x:v>
      </x:c>
      <x:c r="C73" s="60" t="str">
        <x:v>Which condition makes the microwave question not applicable?</x:v>
      </x:c>
      <x:c r="D73" s="60" t="str">
        <x:v>The microwave is installed inside an enclosed cabinet</x:v>
      </x:c>
      <x:c r="E73" s="60" t="str">
        <x:v>The microwave is combined with the property’s oven</x:v>
      </x:c>
      <x:c r="F73" s="60" t="str">
        <x:v>The microwave has no visible manufacturer label</x:v>
      </x:c>
      <x:c r="G73" s="60" t="str">
        <x:v>The property does not provide a microwave</x:v>
      </x:c>
      <x:c r="H73" s="63" t="str">
        <x:v>D</x:v>
      </x:c>
      <x:c r="I73" s="65" t="str">
        <x:v>The property does not provide a microwave</x:v>
      </x:c>
    </x:row>
    <x:row r="74" ht="54" customHeight="1">
      <x:c r="A74" s="66" t="str">
        <x:v>q070</x:v>
      </x:c>
      <x:c r="B74" s="61" t="str">
        <x:v>Kitchen and appliances</x:v>
      </x:c>
      <x:c r="C74" s="61" t="str">
        <x:v>What final perspective should be used for the kitchen visual assessment?</x:v>
      </x:c>
      <x:c r="D74" s="61" t="str">
        <x:v>Review only the appliances that appear in the rental listing</x:v>
      </x:c>
      <x:c r="E74" s="61" t="str">
        <x:v>Step back and assess floors, counters, cabinets, walls, and ceiling</x:v>
      </x:c>
      <x:c r="F74" s="61" t="str">
        <x:v>Evaluate only conditions that produced a required remediation</x:v>
      </x:c>
      <x:c r="G74" s="61" t="str">
        <x:v>Compare the kitchen design with other rentals in the same market</x:v>
      </x:c>
      <x:c r="H74" s="63" t="str">
        <x:v>B</x:v>
      </x:c>
      <x:c r="I74" s="65" t="str">
        <x:v>Step back and assess floors, counters, cabinets, walls, and ceiling</x:v>
      </x:c>
    </x:row>
    <x:row r="75" ht="54" customHeight="1">
      <x:c r="A75" s="64" t="str">
        <x:v>q071</x:v>
      </x:c>
      <x:c r="B75" s="60" t="str">
        <x:v>Bathroom and hallway</x:v>
      </x:c>
      <x:c r="C75" s="60" t="str">
        <x:v>Which bathroom areas deserve particular attention during a mold check?</x:v>
      </x:c>
      <x:c r="D75" s="60" t="str">
        <x:v>Moisture-prone spaces near the sink, shower, toilet, and cabinets</x:v>
      </x:c>
      <x:c r="E75" s="60" t="str">
        <x:v>Dry storage areas located above eye level and away from plumbing</x:v>
      </x:c>
      <x:c r="F75" s="60" t="str">
        <x:v>Only surfaces that the host identifies as recently repaired</x:v>
      </x:c>
      <x:c r="G75" s="60" t="str">
        <x:v>Only the doorway and hallway leading into the bathroom</x:v>
      </x:c>
      <x:c r="H75" s="63" t="str">
        <x:v>A</x:v>
      </x:c>
      <x:c r="I75" s="65" t="str">
        <x:v>Moisture-prone spaces near the sink, shower, toilet, and cabinets</x:v>
      </x:c>
    </x:row>
    <x:row r="76" ht="54" customHeight="1">
      <x:c r="A76" s="66" t="str">
        <x:v>q072</x:v>
      </x:c>
      <x:c r="B76" s="61" t="str">
        <x:v>Bathroom and hallway</x:v>
      </x:c>
      <x:c r="C76" s="61" t="str">
        <x:v>How should toilet operation be confirmed?</x:v>
      </x:c>
      <x:c r="D76" s="61" t="str">
        <x:v>Check the bowl visually without operating any controls</x:v>
      </x:c>
      <x:c r="E76" s="61" t="str">
        <x:v>Review the host’s most recent plumbing service receipt</x:v>
      </x:c>
      <x:c r="F76" s="61" t="str">
        <x:v>Flush it and check for cleanliness, damage, and leaks</x:v>
      </x:c>
      <x:c r="G76" s="61" t="str">
        <x:v>Measure water pressure at the sink and apply it to the toilet</x:v>
      </x:c>
      <x:c r="H76" s="63" t="str">
        <x:v>C</x:v>
      </x:c>
      <x:c r="I76" s="65" t="str">
        <x:v>Flush it and check for cleanliness, damage, and leaks</x:v>
      </x:c>
    </x:row>
    <x:row r="77" ht="54" customHeight="1">
      <x:c r="A77" s="64" t="str">
        <x:v>q073</x:v>
      </x:c>
      <x:c r="B77" s="60" t="str">
        <x:v>Bathroom and hallway</x:v>
      </x:c>
      <x:c r="C77" s="60" t="str">
        <x:v>What is the proper response when a bathroom has no electrical outlets?</x:v>
      </x:c>
      <x:c r="D77" s="60" t="str">
        <x:v>Pass the GFCI requirement because the bathroom is a wet area</x:v>
      </x:c>
      <x:c r="E77" s="60" t="str">
        <x:v>Mark the GFCI outlet question not applicable</x:v>
      </x:c>
      <x:c r="F77" s="60" t="str">
        <x:v>Fail the bathroom because every bathroom requires an outlet</x:v>
      </x:c>
      <x:c r="G77" s="60" t="str">
        <x:v>Test the nearest hallway outlet as a substitute</x:v>
      </x:c>
      <x:c r="H77" s="63" t="str">
        <x:v>B</x:v>
      </x:c>
      <x:c r="I77" s="65" t="str">
        <x:v>Mark the GFCI outlet question not applicable</x:v>
      </x:c>
    </x:row>
    <x:row r="78" ht="54" customHeight="1">
      <x:c r="A78" s="66" t="str">
        <x:v>q074</x:v>
      </x:c>
      <x:c r="B78" s="61" t="str">
        <x:v>Bathroom and hallway</x:v>
      </x:c>
      <x:c r="C78" s="61" t="str">
        <x:v>Why is bathroom privacy explicitly confirmed?</x:v>
      </x:c>
      <x:c r="D78" s="61" t="str">
        <x:v>To verify that housekeeping can enter between guest stays</x:v>
      </x:c>
      <x:c r="E78" s="61" t="str">
        <x:v>To confirm the room contains no host-owned personal items</x:v>
      </x:c>
      <x:c r="F78" s="61" t="str">
        <x:v>To determine whether the bathroom needs an accessibility review</x:v>
      </x:c>
      <x:c r="G78" s="61" t="str">
        <x:v>To disclose whether it is shared with hosts or other guests</x:v>
      </x:c>
      <x:c r="H78" s="63" t="str">
        <x:v>D</x:v>
      </x:c>
      <x:c r="I78" s="65" t="str">
        <x:v>To disclose whether it is shared with hosts or other guests</x:v>
      </x:c>
    </x:row>
    <x:row r="79" ht="54" customHeight="1">
      <x:c r="A79" s="64" t="str">
        <x:v>q075</x:v>
      </x:c>
      <x:c r="B79" s="60" t="str">
        <x:v>Bathroom and hallway</x:v>
      </x:c>
      <x:c r="C79" s="60" t="str">
        <x:v>Which bathroom amenities are informational rather than core requirements?</x:v>
      </x:c>
      <x:c r="D79" s="60" t="str">
        <x:v>Bath soaps, shampoo, bathrobes, and a bidet</x:v>
      </x:c>
      <x:c r="E79" s="60" t="str">
        <x:v>GFCI protection, working plumbing, lighting, and privacy</x:v>
      </x:c>
      <x:c r="F79" s="60" t="str">
        <x:v>A clean toilet, operational shower, sink, and safe wiring</x:v>
      </x:c>
      <x:c r="G79" s="60" t="str">
        <x:v>Mold inspection, pest inspection, odor check, and visual assessment</x:v>
      </x:c>
      <x:c r="H79" s="63" t="str">
        <x:v>A</x:v>
      </x:c>
      <x:c r="I79" s="65" t="str">
        <x:v>Bath soaps, shampoo, bathrobes, and a bidet</x:v>
      </x:c>
    </x:row>
    <x:row r="80" ht="54" customHeight="1">
      <x:c r="A80" s="66" t="str">
        <x:v>q076</x:v>
      </x:c>
      <x:c r="B80" s="61" t="str">
        <x:v>Bathroom and hallway</x:v>
      </x:c>
      <x:c r="C80" s="61" t="str">
        <x:v>What hallway measurement is recorded for accessibility?</x:v>
      </x:c>
      <x:c r="D80" s="61" t="str">
        <x:v>The distance from the hallway entrance to the nearest bedroom</x:v>
      </x:c>
      <x:c r="E80" s="61" t="str">
        <x:v>The width of the narrowest guest-accessible hallway</x:v>
      </x:c>
      <x:c r="F80" s="61" t="str">
        <x:v>The height of every handle on doors along the exit route</x:v>
      </x:c>
      <x:c r="G80" s="61" t="str">
        <x:v>The total length of all unobstructed hallway segments</x:v>
      </x:c>
      <x:c r="H80" s="63" t="str">
        <x:v>B</x:v>
      </x:c>
      <x:c r="I80" s="65" t="str">
        <x:v>The width of the narrowest guest-accessible hallway</x:v>
      </x:c>
    </x:row>
    <x:row r="81" ht="54" customHeight="1">
      <x:c r="A81" s="64" t="str">
        <x:v>q077</x:v>
      </x:c>
      <x:c r="B81" s="60" t="str">
        <x:v>Bathroom and hallway</x:v>
      </x:c>
      <x:c r="C81" s="60" t="str">
        <x:v>Which alarm types are listed in the hallway rubric?</x:v>
      </x:c>
      <x:c r="D81" s="60" t="str">
        <x:v>Photoelectric, ionization, thermal, and combination alarms</x:v>
      </x:c>
      <x:c r="E81" s="60" t="str">
        <x:v>Residential, commercial, industrial, and portable alarms</x:v>
      </x:c>
      <x:c r="F81" s="60" t="str">
        <x:v>Monitored, local low-voltage, hardwired, and battery-powered alarms</x:v>
      </x:c>
      <x:c r="G81" s="60" t="str">
        <x:v>Audible, visual, vibrating, and voice-command alarms</x:v>
      </x:c>
      <x:c r="H81" s="63" t="str">
        <x:v>C</x:v>
      </x:c>
      <x:c r="I81" s="65" t="str">
        <x:v>Monitored, local low-voltage, hardwired, and battery-powered alarms</x:v>
      </x:c>
    </x:row>
    <x:row r="82" ht="54" customHeight="1">
      <x:c r="A82" s="66" t="str">
        <x:v>q078</x:v>
      </x:c>
      <x:c r="B82" s="61" t="str">
        <x:v>Bathroom and hallway</x:v>
      </x:c>
      <x:c r="C82" s="61" t="str">
        <x:v>What must be photographed when other hazard detectors are present?</x:v>
      </x:c>
      <x:c r="D82" s="61" t="str">
        <x:v>Only the detector closest to the hallway entrance</x:v>
      </x:c>
      <x:c r="E82" s="61" t="str">
        <x:v>Only detectors that are not connected to electrical power</x:v>
      </x:c>
      <x:c r="F82" s="61" t="str">
        <x:v>Only detectors that combine smoke and carbon monoxide sensing</x:v>
      </x:c>
      <x:c r="G82" s="61" t="str">
        <x:v>All identified detectors included in the room assessment</x:v>
      </x:c>
      <x:c r="H82" s="63" t="str">
        <x:v>D</x:v>
      </x:c>
      <x:c r="I82" s="65" t="str">
        <x:v>All identified detectors included in the room assessment</x:v>
      </x:c>
    </x:row>
    <x:row r="83" ht="54" customHeight="1">
      <x:c r="A83" s="64" t="str">
        <x:v>q079</x:v>
      </x:c>
      <x:c r="B83" s="60" t="str">
        <x:v>Bathroom and hallway</x:v>
      </x:c>
      <x:c r="C83" s="60" t="str">
        <x:v>What hallway condition represents a trip hazard?</x:v>
      </x:c>
      <x:c r="D83" s="60" t="str">
        <x:v>An unexpected change in floor height or uneven walking surface</x:v>
      </x:c>
      <x:c r="E83" s="60" t="str">
        <x:v>A handrail installed beside a stairway along the exit route</x:v>
      </x:c>
      <x:c r="F83" s="60" t="str">
        <x:v>A clearly marked door that opens easily from the inside</x:v>
      </x:c>
      <x:c r="G83" s="60" t="str">
        <x:v>A powered detector mounted near the center of the hallway</x:v>
      </x:c>
      <x:c r="H83" s="63" t="str">
        <x:v>A</x:v>
      </x:c>
      <x:c r="I83" s="65" t="str">
        <x:v>An unexpected change in floor height or uneven walking surface</x:v>
      </x:c>
    </x:row>
    <x:row r="84" ht="54" customHeight="1">
      <x:c r="A84" s="66" t="str">
        <x:v>q080</x:v>
      </x:c>
      <x:c r="B84" s="61" t="str">
        <x:v>Bathroom and hallway</x:v>
      </x:c>
      <x:c r="C84" s="61" t="str">
        <x:v>What should the inspector do with optional conditions not covered by bathroom questions?</x:v>
      </x:c>
      <x:c r="D84" s="61" t="str">
        <x:v>Ignore them because optional findings cannot appear in the report</x:v>
      </x:c>
      <x:c r="E84" s="61" t="str">
        <x:v>Record them in the additional-notes area for the room</x:v>
      </x:c>
      <x:c r="F84" s="61" t="str">
        <x:v>Convert them into accessibility failures before leaving the room</x:v>
      </x:c>
      <x:c r="G84" s="61" t="str">
        <x:v>Add them to the kitchen section where utilities are documented</x:v>
      </x:c>
      <x:c r="H84" s="63" t="str">
        <x:v>B</x:v>
      </x:c>
      <x:c r="I84" s="65" t="str">
        <x:v>Record them in the additional-notes area for the room</x:v>
      </x:c>
    </x:row>
    <x:row r="85" ht="54" customHeight="1">
      <x:c r="A85" s="64" t="str">
        <x:v>q081</x:v>
      </x:c>
      <x:c r="B85" s="60" t="str">
        <x:v>Bedroom and common room</x:v>
      </x:c>
      <x:c r="C85" s="60" t="str">
        <x:v>What emergency equipment should be available and tested in each bedroom?</x:v>
      </x:c>
      <x:c r="D85" s="60" t="str">
        <x:v>A charged flashlight for guest use</x:v>
      </x:c>
      <x:c r="E85" s="60" t="str">
        <x:v>A portable GFCI testing device</x:v>
      </x:c>
      <x:c r="F85" s="60" t="str">
        <x:v>A combination safe for valuables</x:v>
      </x:c>
      <x:c r="G85" s="60" t="str">
        <x:v>A battery-powered sound meter</x:v>
      </x:c>
      <x:c r="H85" s="63" t="str">
        <x:v>A</x:v>
      </x:c>
      <x:c r="I85" s="65" t="str">
        <x:v>A charged flashlight for guest use</x:v>
      </x:c>
    </x:row>
    <x:row r="86" ht="54" customHeight="1">
      <x:c r="A86" s="66" t="str">
        <x:v>q082</x:v>
      </x:c>
      <x:c r="B86" s="61" t="str">
        <x:v>Bedroom and common room</x:v>
      </x:c>
      <x:c r="C86" s="61" t="str">
        <x:v>What should happen after checking bedding and the mattress for bed bugs?</x:v>
      </x:c>
      <x:c r="D86" s="61" t="str">
        <x:v>Leave the bedding removed so the host can inspect it</x:v>
      </x:c>
      <x:c r="E86" s="61" t="str">
        <x:v>Photograph every layer before replacing the mattress</x:v>
      </x:c>
      <x:c r="F86" s="61" t="str">
        <x:v>Remake the bed after completing the visual check</x:v>
      </x:c>
      <x:c r="G86" s="61" t="str">
        <x:v>Replace the sheets with a sealed inspection set</x:v>
      </x:c>
      <x:c r="H86" s="63" t="str">
        <x:v>C</x:v>
      </x:c>
      <x:c r="I86" s="65" t="str">
        <x:v>Remake the bed after completing the visual check</x:v>
      </x:c>
    </x:row>
    <x:row r="87" ht="54" customHeight="1">
      <x:c r="A87" s="64" t="str">
        <x:v>q083</x:v>
      </x:c>
      <x:c r="B87" s="60" t="str">
        <x:v>Bedroom and common room</x:v>
      </x:c>
      <x:c r="C87" s="60" t="str">
        <x:v>How should air conditioning be recorded when the climate does not require it?</x:v>
      </x:c>
      <x:c r="D87" s="60" t="str">
        <x:v>Mark the item no and create a required remediation</x:v>
      </x:c>
      <x:c r="E87" s="60" t="str">
        <x:v>Mark the item not applicable for that property</x:v>
      </x:c>
      <x:c r="F87" s="60" t="str">
        <x:v>Mark the item yes if a portable fan is available</x:v>
      </x:c>
      <x:c r="G87" s="60" t="str">
        <x:v>Leave the item unanswered for corporate review</x:v>
      </x:c>
      <x:c r="H87" s="63" t="str">
        <x:v>B</x:v>
      </x:c>
      <x:c r="I87" s="65" t="str">
        <x:v>Mark the item not applicable for that property</x:v>
      </x:c>
    </x:row>
    <x:row r="88" ht="54" customHeight="1">
      <x:c r="A88" s="66" t="str">
        <x:v>q084</x:v>
      </x:c>
      <x:c r="B88" s="61" t="str">
        <x:v>Bedroom and common room</x:v>
      </x:c>
      <x:c r="C88" s="61" t="str">
        <x:v>What bedroom lock information is documented?</x:v>
      </x:c>
      <x:c r="D88" s="61" t="str">
        <x:v>Whether the lock is electronic, mechanical, or remotely monitored</x:v>
      </x:c>
      <x:c r="E88" s="61" t="str">
        <x:v>Whether the host changes the lock code between every reservation</x:v>
      </x:c>
      <x:c r="F88" s="61" t="str">
        <x:v>Whether the lock meets the local building code for rental units</x:v>
      </x:c>
      <x:c r="G88" s="61" t="str">
        <x:v>Whether there is no lock, a non-keyed lock, or a keyed lock</x:v>
      </x:c>
      <x:c r="H88" s="63" t="str">
        <x:v>D</x:v>
      </x:c>
      <x:c r="I88" s="65" t="str">
        <x:v>Whether there is no lock, a non-keyed lock, or a keyed lock</x:v>
      </x:c>
    </x:row>
    <x:row r="89" ht="54" customHeight="1">
      <x:c r="A89" s="64" t="str">
        <x:v>q085</x:v>
      </x:c>
      <x:c r="B89" s="60" t="str">
        <x:v>Bedroom and common room</x:v>
      </x:c>
      <x:c r="C89" s="60" t="str">
        <x:v>Which bedroom item is recommended for securing guest valuables?</x:v>
      </x:c>
      <x:c r="D89" s="60" t="str">
        <x:v>A combination safe accessible to the guest</x:v>
      </x:c>
      <x:c r="E89" s="60" t="str">
        <x:v>A locked host closet inside the bedroom</x:v>
      </x:c>
      <x:c r="F89" s="60" t="str">
        <x:v>A monitored camera pointed toward the entry</x:v>
      </x:c>
      <x:c r="G89" s="60" t="str">
        <x:v>A keyed cabinet controlled by property staff</x:v>
      </x:c>
      <x:c r="H89" s="63" t="str">
        <x:v>A</x:v>
      </x:c>
      <x:c r="I89" s="65" t="str">
        <x:v>A combination safe accessible to the guest</x:v>
      </x:c>
    </x:row>
    <x:row r="90" ht="54" customHeight="1">
      <x:c r="A90" s="66" t="str">
        <x:v>q086</x:v>
      </x:c>
      <x:c r="B90" s="61" t="str">
        <x:v>Bedroom and common room</x:v>
      </x:c>
      <x:c r="C90" s="61" t="str">
        <x:v>What should be recorded when a smart TV is available?</x:v>
      </x:c>
      <x:c r="D90" s="61" t="str">
        <x:v>The purchase date and remaining manufacturer warranty</x:v>
      </x:c>
      <x:c r="E90" s="61" t="str">
        <x:v>The streaming services available through host-provided credentials</x:v>
      </x:c>
      <x:c r="F90" s="61" t="str">
        <x:v>The television’s screen dimensions and electrical consumption</x:v>
      </x:c>
      <x:c r="G90" s="61" t="str">
        <x:v>The guest accounts previously used to sign into each service</x:v>
      </x:c>
      <x:c r="H90" s="63" t="str">
        <x:v>B</x:v>
      </x:c>
      <x:c r="I90" s="65" t="str">
        <x:v>The streaming services available through host-provided credentials</x:v>
      </x:c>
    </x:row>
    <x:row r="91" ht="54" customHeight="1">
      <x:c r="A91" s="64" t="str">
        <x:v>q087</x:v>
      </x:c>
      <x:c r="B91" s="60" t="str">
        <x:v>Bedroom and common room</x:v>
      </x:c>
      <x:c r="C91" s="60" t="str">
        <x:v>What common-room doorway condition may require a threshold ramp?</x:v>
      </x:c>
      <x:c r="D91" s="60" t="str">
        <x:v>A doorway with a lip or raised bump in the floor</x:v>
      </x:c>
      <x:c r="E91" s="60" t="str">
        <x:v>A doorway with a coded lock or exterior access</x:v>
      </x:c>
      <x:c r="F91" s="60" t="str">
        <x:v>A doorway located beside the main dining table</x:v>
      </x:c>
      <x:c r="G91" s="60" t="str">
        <x:v>A doorway wider than the narrowest hallway</x:v>
      </x:c>
      <x:c r="H91" s="63" t="str">
        <x:v>A</x:v>
      </x:c>
      <x:c r="I91" s="65" t="str">
        <x:v>A doorway with a lip or raised bump in the floor</x:v>
      </x:c>
    </x:row>
    <x:row r="92" ht="54" customHeight="1">
      <x:c r="A92" s="66" t="str">
        <x:v>q088</x:v>
      </x:c>
      <x:c r="B92" s="61" t="str">
        <x:v>Bedroom and common room</x:v>
      </x:c>
      <x:c r="C92" s="61" t="str">
        <x:v>Which common-room entertainment items should be documented?</x:v>
      </x:c>
      <x:c r="D92" s="61" t="str">
        <x:v>Only televisions and devices permanently attached to the wall</x:v>
      </x:c>
      <x:c r="E92" s="61" t="str">
        <x:v>Only amenities that require host-provided login credentials</x:v>
      </x:c>
      <x:c r="F92" s="61" t="str">
        <x:v>Reading materials, TV services, games, and local information</x:v>
      </x:c>
      <x:c r="G92" s="61" t="str">
        <x:v>Furniture brands, decorative artwork, and lighting controls</x:v>
      </x:c>
      <x:c r="H92" s="63" t="str">
        <x:v>C</x:v>
      </x:c>
      <x:c r="I92" s="65" t="str">
        <x:v>Reading materials, TV services, games, and local information</x:v>
      </x:c>
    </x:row>
    <x:row r="93" ht="54" customHeight="1">
      <x:c r="A93" s="64" t="str">
        <x:v>q089</x:v>
      </x:c>
      <x:c r="B93" s="60" t="str">
        <x:v>Bedroom and common room</x:v>
      </x:c>
      <x:c r="C93" s="60" t="str">
        <x:v>What should be recorded when a washer and dryer are present?</x:v>
      </x:c>
      <x:c r="D93" s="60" t="str">
        <x:v>Only whether the appliances are located in a private space</x:v>
      </x:c>
      <x:c r="E93" s="60" t="str">
        <x:v>Their water use and estimated cost for a normal cycle</x:v>
      </x:c>
      <x:c r="F93" s="60" t="str">
        <x:v>The cleaning products the host requires guests to use</x:v>
      </x:c>
      <x:c r="G93" s="60" t="str">
        <x:v>Condition, usability, photographs, and make and model</x:v>
      </x:c>
      <x:c r="H93" s="63" t="str">
        <x:v>D</x:v>
      </x:c>
      <x:c r="I93" s="65" t="str">
        <x:v>Condition, usability, photographs, and make and model</x:v>
      </x:c>
    </x:row>
    <x:row r="94" ht="54" customHeight="1">
      <x:c r="A94" s="66" t="str">
        <x:v>q090</x:v>
      </x:c>
      <x:c r="B94" s="61" t="str">
        <x:v>Bedroom and common room</x:v>
      </x:c>
      <x:c r="C94" s="61" t="str">
        <x:v>Where should an inspector look for a recommended bedroom safe?</x:v>
      </x:c>
      <x:c r="D94" s="61" t="str">
        <x:v>In the room and logical storage spaces such as the closet</x:v>
      </x:c>
      <x:c r="E94" s="61" t="str">
        <x:v>Only beside the bed where it is immediately visible</x:v>
      </x:c>
      <x:c r="F94" s="61" t="str">
        <x:v>Only in the attached bathroom or common room</x:v>
      </x:c>
      <x:c r="G94" s="61" t="str">
        <x:v>Inside any host-locked storage area without permission</x:v>
      </x:c>
      <x:c r="H94" s="63" t="str">
        <x:v>A</x:v>
      </x:c>
      <x:c r="I94" s="65" t="str">
        <x:v>In the room and logical storage spaces such as the closet</x:v>
      </x:c>
    </x:row>
    <x:row r="95" ht="54" customHeight="1">
      <x:c r="A95" s="64" t="str">
        <x:v>q091</x:v>
      </x:c>
      <x:c r="B95" s="60" t="str">
        <x:v>Overall property and guest experience</x:v>
      </x:c>
      <x:c r="C95" s="60" t="str">
        <x:v>Where should the GuestGuard host and guest handbook be displayed?</x:v>
      </x:c>
      <x:c r="D95" s="60" t="str">
        <x:v>Inside a locked cabinet reserved for host documents</x:v>
      </x:c>
      <x:c r="E95" s="60" t="str">
        <x:v>In a conspicuous location where guests can find it</x:v>
      </x:c>
      <x:c r="F95" s="60" t="str">
        <x:v>Beside the breaker box in the maintenance room</x:v>
      </x:c>
      <x:c r="G95" s="60" t="str">
        <x:v>Outside the property near the primary parking space</x:v>
      </x:c>
      <x:c r="H95" s="63" t="str">
        <x:v>B</x:v>
      </x:c>
      <x:c r="I95" s="65" t="str">
        <x:v>In a conspicuous location where guests can find it</x:v>
      </x:c>
    </x:row>
    <x:row r="96" ht="54" customHeight="1">
      <x:c r="A96" s="66" t="str">
        <x:v>q092</x:v>
      </x:c>
      <x:c r="B96" s="61" t="str">
        <x:v>Overall property and guest experience</x:v>
      </x:c>
      <x:c r="C96" s="61" t="str">
        <x:v>Which procedures are covered by the GuestGuard handbook?</x:v>
      </x:c>
      <x:c r="D96" s="61" t="str">
        <x:v>Booking changes, refund requests, and review disputes</x:v>
      </x:c>
      <x:c r="E96" s="61" t="str">
        <x:v>Appliance warranties, utility billing, and repair scheduling</x:v>
      </x:c>
      <x:c r="F96" s="61" t="str">
        <x:v>Fire evacuation, power outage, and shelter-in-place guidance</x:v>
      </x:c>
      <x:c r="G96" s="61" t="str">
        <x:v>Cleaning invoices, tax records, and insurance claims</x:v>
      </x:c>
      <x:c r="H96" s="63" t="str">
        <x:v>C</x:v>
      </x:c>
      <x:c r="I96" s="65" t="str">
        <x:v>Fire evacuation, power outage, and shelter-in-place guidance</x:v>
      </x:c>
    </x:row>
    <x:row r="97" ht="54" customHeight="1">
      <x:c r="A97" s="64" t="str">
        <x:v>q093</x:v>
      </x:c>
      <x:c r="B97" s="60" t="str">
        <x:v>Overall property and guest experience</x:v>
      </x:c>
      <x:c r="C97" s="60" t="str">
        <x:v>When is the first-aid-certification item marked not applicable?</x:v>
      </x:c>
      <x:c r="D97" s="60" t="str">
        <x:v>When the host or representative will not be present during stays</x:v>
      </x:c>
      <x:c r="E97" s="60" t="str">
        <x:v>When the property has a complete and accessible first-aid kit</x:v>
      </x:c>
      <x:c r="F97" s="60" t="str">
        <x:v>When the certification was issued by the Red Cross or AHA</x:v>
      </x:c>
      <x:c r="G97" s="60" t="str">
        <x:v>When the inspector cannot photograph the original certificate</x:v>
      </x:c>
      <x:c r="H97" s="63" t="str">
        <x:v>A</x:v>
      </x:c>
      <x:c r="I97" s="65" t="str">
        <x:v>When the host or representative will not be present during stays</x:v>
      </x:c>
    </x:row>
    <x:row r="98" ht="54" customHeight="1">
      <x:c r="A98" s="66" t="str">
        <x:v>q094</x:v>
      </x:c>
      <x:c r="B98" s="61" t="str">
        <x:v>Overall property and guest experience</x:v>
      </x:c>
      <x:c r="C98" s="61" t="str">
        <x:v>Which set belongs in a complete first-aid kit?</x:v>
      </x:c>
      <x:c r="D98" s="61" t="str">
        <x:v>Thermometer, flashlight, batteries, water, and emergency radio</x:v>
      </x:c>
      <x:c r="E98" s="61" t="str">
        <x:v>Prescription medicine, splints, oxygen, and medical instruments</x:v>
      </x:c>
      <x:c r="F98" s="61" t="str">
        <x:v>Cleaning chemicals, masks, towels, soap, and disinfectant spray</x:v>
      </x:c>
      <x:c r="G98" s="61" t="str">
        <x:v>Bandages, gauze, tape, wipes, gloves, scissors, tweezers, and pain relievers</x:v>
      </x:c>
      <x:c r="H98" s="63" t="str">
        <x:v>D</x:v>
      </x:c>
      <x:c r="I98" s="65" t="str">
        <x:v>Bandages, gauze, tape, wipes, gloves, scissors, tweezers, and pain relievers</x:v>
      </x:c>
    </x:row>
    <x:row r="99" ht="54" customHeight="1">
      <x:c r="A99" s="64" t="str">
        <x:v>q095</x:v>
      </x:c>
      <x:c r="B99" s="60" t="str">
        <x:v>Overall property and guest experience</x:v>
      </x:c>
      <x:c r="C99" s="60" t="str">
        <x:v>How should Wi-Fi performance be checked?</x:v>
      </x:c>
      <x:c r="D99" s="60" t="str">
        <x:v>Test throughout the rental while connected to the local network</x:v>
      </x:c>
      <x:c r="E99" s="60" t="str">
        <x:v>Read the advertised plan speed from the host’s internet bill</x:v>
      </x:c>
      <x:c r="F99" s="60" t="str">
        <x:v>Test beside the router and apply that result to the whole property</x:v>
      </x:c>
      <x:c r="G99" s="60" t="str">
        <x:v>Ask a previous guest whether streaming worked during the stay</x:v>
      </x:c>
      <x:c r="H99" s="63" t="str">
        <x:v>A</x:v>
      </x:c>
      <x:c r="I99" s="65" t="str">
        <x:v>Test throughout the rental while connected to the local network</x:v>
      </x:c>
    </x:row>
    <x:row r="100" ht="54" customHeight="1">
      <x:c r="A100" s="66" t="str">
        <x:v>q096</x:v>
      </x:c>
      <x:c r="B100" s="61" t="str">
        <x:v>Overall property and guest experience</x:v>
      </x:c>
      <x:c r="C100" s="61" t="str">
        <x:v>What minimum Wi-Fi speed is specified in the training?</x:v>
      </x:c>
      <x:c r="D100" s="61" t="str">
        <x:v>At least ten Mbps throughout the rented space</x:v>
      </x:c>
      <x:c r="E100" s="61" t="str">
        <x:v>At least twenty-five Mbps throughout the rented space</x:v>
      </x:c>
      <x:c r="F100" s="61" t="str">
        <x:v>At least fifty Mbps beside the primary wireless router</x:v>
      </x:c>
      <x:c r="G100" s="61" t="str">
        <x:v>At least one hundred Mbps at the property entrance</x:v>
      </x:c>
      <x:c r="H100" s="63" t="str">
        <x:v>B</x:v>
      </x:c>
      <x:c r="I100" s="65" t="str">
        <x:v>At least twenty-five Mbps throughout the rented space</x:v>
      </x:c>
    </x:row>
    <x:row r="101" ht="54" customHeight="1">
      <x:c r="A101" s="64" t="str">
        <x:v>q097</x:v>
      </x:c>
      <x:c r="B101" s="60" t="str">
        <x:v>Overall property and guest experience</x:v>
      </x:c>
      <x:c r="C101" s="60" t="str">
        <x:v>Which tool is recommended for measuring background noise?</x:v>
      </x:c>
      <x:c r="D101" s="60" t="str">
        <x:v>The fast.com network performance website</x:v>
      </x:c>
      <x:c r="E101" s="60" t="str">
        <x:v>The property’s monitored alarm control panel</x:v>
      </x:c>
      <x:c r="F101" s="60" t="str">
        <x:v>The NIOSH Sound Level Meter smartphone app</x:v>
      </x:c>
      <x:c r="G101" s="60" t="str">
        <x:v>The digital inspection platform’s photo uploader</x:v>
      </x:c>
      <x:c r="H101" s="63" t="str">
        <x:v>C</x:v>
      </x:c>
      <x:c r="I101" s="65" t="str">
        <x:v>The NIOSH Sound Level Meter smartphone app</x:v>
      </x:c>
    </x:row>
    <x:row r="102" ht="54" customHeight="1">
      <x:c r="A102" s="66" t="str">
        <x:v>q098</x:v>
      </x:c>
      <x:c r="B102" s="61" t="str">
        <x:v>Overall property and guest experience</x:v>
      </x:c>
      <x:c r="C102" s="61" t="str">
        <x:v>Why should a host’s own pets be disclosed?</x:v>
      </x:c>
      <x:c r="D102" s="61" t="str">
        <x:v>They determine whether exterior exit signs are required</x:v>
      </x:c>
      <x:c r="E102" s="61" t="str">
        <x:v>They change the minimum internet speed for the rental</x:v>
      </x:c>
      <x:c r="F102" s="61" t="str">
        <x:v>They replace the need for a guest-facing pet policy</x:v>
      </x:c>
      <x:c r="G102" s="61" t="str">
        <x:v>They matter to guests with allergies or animal preferences</x:v>
      </x:c>
      <x:c r="H102" s="63" t="str">
        <x:v>D</x:v>
      </x:c>
      <x:c r="I102" s="65" t="str">
        <x:v>They matter to guests with allergies or animal preferences</x:v>
      </x:c>
    </x:row>
    <x:row r="103" ht="54" customHeight="1">
      <x:c r="A103" s="64" t="str">
        <x:v>q099</x:v>
      </x:c>
      <x:c r="B103" s="60" t="str">
        <x:v>Overall property and guest experience</x:v>
      </x:c>
      <x:c r="C103" s="60" t="str">
        <x:v>What should be confirmed when guests are allowed to bring pets?</x:v>
      </x:c>
      <x:c r="D103" s="60" t="str">
        <x:v>A pet policy is included in the rental listing</x:v>
      </x:c>
      <x:c r="E103" s="60" t="str">
        <x:v>A veterinarian is available during every guest stay</x:v>
      </x:c>
      <x:c r="F103" s="60" t="str">
        <x:v>The host supplies food for every permitted animal</x:v>
      </x:c>
      <x:c r="G103" s="60" t="str">
        <x:v>A separate inspection report exists for each species</x:v>
      </x:c>
      <x:c r="H103" s="63" t="str">
        <x:v>A</x:v>
      </x:c>
      <x:c r="I103" s="65" t="str">
        <x:v>A pet policy is included in the rental listing</x:v>
      </x:c>
    </x:row>
    <x:row r="104" ht="54" customHeight="1">
      <x:c r="A104" s="67" t="str">
        <x:v>q100</x:v>
      </x:c>
      <x:c r="B104" s="68" t="str">
        <x:v>Overall property and guest experience</x:v>
      </x:c>
      <x:c r="C104" s="68" t="str">
        <x:v>What is the inspector’s core purpose at the end of the full rubric?</x:v>
      </x:c>
      <x:c r="D104" s="68" t="str">
        <x:v>Assign a final property grade without corporate review</x:v>
      </x:c>
      <x:c r="E104" s="68" t="str">
        <x:v>Document accurately so guests know what they book and hosts know what to fix</x:v>
      </x:c>
      <x:c r="F104" s="68" t="str">
        <x:v>Require every recommended amenity before certification can proceed</x:v>
      </x:c>
      <x:c r="G104" s="68" t="str">
        <x:v>Estimate renovation costs for all conditions recorded in the report</x:v>
      </x:c>
      <x:c r="H104" s="69" t="str">
        <x:v>B</x:v>
      </x:c>
      <x:c r="I104" s="70" t="str">
        <x:v>Document accurately so guests know what they book and hosts know what to fix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6cde3a54d104c6a"/>
  </x:tableParts>
</x:worksheet>
</file>